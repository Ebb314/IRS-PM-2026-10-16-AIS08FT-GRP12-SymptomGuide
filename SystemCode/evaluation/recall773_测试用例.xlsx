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说明" sheetId="1" state="visible" r:id="rId3"/>
    <sheet name="测试用例" sheetId="2" state="visible" r:id="rId4"/>
    <sheet name="指标汇总" sheetId="3" state="visible" r:id="rId5"/>
  </sheets>
  <definedNames>
    <definedName function="false" hidden="true" localSheetId="1" name="_xlnm._FilterDatabase" vbProcedure="false">测试用例!$A$1:$H$152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<sst xmlns="http://schemas.openxmlformats.org/spreadsheetml/2006/main" count="1274" uniqueCount="678">
  <si>
    <r>
      <rPr>
        <b val="true"/>
        <sz val="12"/>
        <rFont val="Arial"/>
        <family val="0"/>
        <charset val="1"/>
      </rPr>
      <t xml:space="preserve">recall773 </t>
    </r>
    <r>
      <rPr>
        <b val="true"/>
        <sz val="12"/>
        <rFont val="Noto Sans CJK SC"/>
        <family val="2"/>
      </rPr>
      <t xml:space="preserve">模式测试用例（</t>
    </r>
    <r>
      <rPr>
        <b val="true"/>
        <sz val="12"/>
        <rFont val="Arial"/>
        <family val="0"/>
        <charset val="1"/>
      </rPr>
      <t xml:space="preserve">Group 12 · KG-Enhanced Intelligent Diagnostic Chatbot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</si>
  <si>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评价体系（</t>
    </r>
    <r>
      <rPr>
        <b val="true"/>
        <sz val="10"/>
        <rFont val="Arial"/>
        <family val="0"/>
        <charset val="1"/>
      </rPr>
      <t xml:space="preserve">PPT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4 </t>
    </r>
    <r>
      <rPr>
        <b val="true"/>
        <sz val="10"/>
        <rFont val="Noto Sans CJK SC"/>
        <family val="2"/>
      </rPr>
      <t xml:space="preserve">页 </t>
    </r>
    <r>
      <rPr>
        <b val="true"/>
        <sz val="10"/>
        <rFont val="Arial"/>
        <family val="0"/>
        <charset val="1"/>
      </rPr>
      <t xml:space="preserve">Evaluation Objectives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</si>
  <si>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检索准确率 </t>
    </r>
    <r>
      <rPr>
        <sz val="10"/>
        <rFont val="Arial"/>
        <family val="0"/>
        <charset val="1"/>
      </rPr>
      <t xml:space="preserve">Retrieval Accuracy</t>
    </r>
    <r>
      <rPr>
        <sz val="10"/>
        <rFont val="Noto Sans CJK SC"/>
        <family val="2"/>
      </rPr>
      <t xml:space="preserve">：金标准疾病在候选中的排名（</t>
    </r>
    <r>
      <rPr>
        <sz val="10"/>
        <rFont val="Arial"/>
        <family val="0"/>
        <charset val="1"/>
      </rPr>
      <t xml:space="preserve">Hits@K</t>
    </r>
    <r>
      <rPr>
        <sz val="10"/>
        <rFont val="Noto Sans CJK SC"/>
        <family val="2"/>
      </rPr>
      <t xml:space="preserve">），开场时与问诊结束后各测一次</t>
    </r>
  </si>
  <si>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提问效率 </t>
    </r>
    <r>
      <rPr>
        <sz val="10"/>
        <rFont val="Arial"/>
        <family val="0"/>
        <charset val="1"/>
      </rPr>
      <t xml:space="preserve">Questioning Efficiency</t>
    </r>
    <r>
      <rPr>
        <sz val="10"/>
        <rFont val="Noto Sans CJK SC"/>
        <family val="2"/>
      </rPr>
      <t xml:space="preserve">：得出结论所需的提问数；与“随机提问”基线对比；停止条件（前三名概率合计 ≥ </t>
    </r>
    <r>
      <rPr>
        <sz val="10"/>
        <rFont val="Arial"/>
        <family val="0"/>
        <charset val="1"/>
      </rPr>
      <t xml:space="preserve">0.9</t>
    </r>
    <r>
      <rPr>
        <sz val="10"/>
        <rFont val="Noto Sans CJK SC"/>
        <family val="2"/>
      </rPr>
      <t xml:space="preserve">）的配置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边界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会话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大样本用例 </t>
    </r>
    <r>
      <rPr>
        <sz val="10"/>
        <rFont val="Arial"/>
        <family val="0"/>
        <charset val="1"/>
      </rPr>
      <t xml:space="preserve">ST01-ST16</t>
    </r>
  </si>
  <si>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鲁棒性 </t>
    </r>
    <r>
      <rPr>
        <sz val="10"/>
        <rFont val="Arial"/>
        <family val="0"/>
        <charset val="1"/>
      </rPr>
      <t xml:space="preserve">Robustness</t>
    </r>
    <r>
      <rPr>
        <sz val="10"/>
        <rFont val="Noto Sans CJK SC"/>
        <family val="2"/>
      </rPr>
      <t xml:space="preserve">：口语、错别字、否定、不确定、他人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既往症状等文本探针；回答含“不确定”或答错时的结果变化</t>
    </r>
  </si>
  <si>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可解释性 </t>
    </r>
    <r>
      <rPr>
        <sz val="10"/>
        <rFont val="Arial"/>
        <family val="0"/>
        <charset val="1"/>
      </rPr>
      <t xml:space="preserve">Explainability</t>
    </r>
    <r>
      <rPr>
        <sz val="10"/>
        <rFont val="Noto Sans CJK SC"/>
        <family val="2"/>
      </rPr>
      <t xml:space="preserve">：候选有支持症状、提问有理由、药物有来源、会话有停止原因</t>
    </r>
  </si>
  <si>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整体任务表现 </t>
    </r>
    <r>
      <rPr>
        <sz val="10"/>
        <rFont val="Arial"/>
        <family val="0"/>
        <charset val="1"/>
      </rPr>
      <t xml:space="preserve">Overall Task Performance</t>
    </r>
    <r>
      <rPr>
        <sz val="10"/>
        <rFont val="Noto Sans CJK SC"/>
        <family val="2"/>
      </rPr>
      <t xml:space="preserve">：安全规则（免责声明、结论前不给药、禁忌药过滤、急症提示、全否认不给高置信结果）与有用性</t>
    </r>
  </si>
  <si>
    <t xml:space="preserve">用例来源</t>
  </si>
  <si>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个临床病例 </t>
    </r>
    <r>
      <rPr>
        <sz val="10"/>
        <rFont val="Arial"/>
        <family val="0"/>
        <charset val="1"/>
      </rPr>
      <t xml:space="preserve">+ 20 </t>
    </r>
    <r>
      <rPr>
        <sz val="10"/>
        <rFont val="Noto Sans CJK SC"/>
        <family val="2"/>
      </rPr>
      <t xml:space="preserve">个鲁棒性探针，见 </t>
    </r>
    <r>
      <rPr>
        <sz val="10"/>
        <rFont val="Arial"/>
        <family val="0"/>
        <charset val="1"/>
      </rPr>
      <t xml:space="preserve">evaluation/recall773_cases.json</t>
    </r>
    <r>
      <rPr>
        <sz val="10"/>
        <rFont val="Noto Sans CJK SC"/>
        <family val="2"/>
      </rPr>
      <t xml:space="preserve">。金标准与“病人实际症状”按临床常识独立编写，不来自模型推导的疾病–症状表，因此模拟问诊不是循环的。非真实病人数据，不能作为临床验证。</t>
    </r>
  </si>
  <si>
    <r>
      <rPr>
        <sz val="10"/>
        <rFont val="Noto Sans CJK SC"/>
        <family val="2"/>
      </rPr>
      <t xml:space="preserve">模拟病人：被问到的症状若在其症状列表中则答 </t>
    </r>
    <r>
      <rPr>
        <sz val="10"/>
        <rFont val="Arial"/>
        <family val="0"/>
        <charset val="1"/>
      </rPr>
      <t xml:space="preserve">Yes</t>
    </r>
    <r>
      <rPr>
        <sz val="10"/>
        <rFont val="Noto Sans CJK SC"/>
        <family val="2"/>
      </rPr>
      <t xml:space="preserve">，否则答 </t>
    </r>
    <r>
      <rPr>
        <sz val="10"/>
        <rFont val="Arial"/>
        <family val="0"/>
        <charset val="1"/>
      </rPr>
      <t xml:space="preserve">No</t>
    </r>
    <r>
      <rPr>
        <sz val="10"/>
        <rFont val="Noto Sans CJK SC"/>
        <family val="2"/>
      </rPr>
      <t xml:space="preserve">。“可接受”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金标准或临床上同样合理的鉴别诊断（作者判断）。</t>
    </r>
  </si>
  <si>
    <t xml:space="preserve">如何复现</t>
  </si>
  <si>
    <r>
      <rPr>
        <sz val="10"/>
        <rFont val="Arial"/>
        <family val="0"/>
        <charset val="1"/>
      </rPr>
      <t xml:space="preserve">python scripts/evaluate_recall773.py                  # </t>
    </r>
    <r>
      <rPr>
        <sz val="10"/>
        <rFont val="Noto Sans CJK SC"/>
        <family val="2"/>
      </rPr>
      <t xml:space="preserve">离线规则 </t>
    </r>
    <r>
      <rPr>
        <sz val="10"/>
        <rFont val="Arial"/>
        <family val="0"/>
        <charset val="1"/>
      </rPr>
      <t xml:space="preserve">NLP</t>
    </r>
    <r>
      <rPr>
        <sz val="10"/>
        <rFont val="Noto Sans CJK SC"/>
        <family val="2"/>
      </rPr>
      <t xml:space="preserve">，结果确定，约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秒</t>
    </r>
  </si>
  <si>
    <r>
      <rPr>
        <sz val="10"/>
        <rFont val="Arial"/>
        <family val="0"/>
        <charset val="1"/>
      </rPr>
      <t xml:space="preserve">python scripts/evaluate_recall773.py --profile ollama # </t>
    </r>
    <r>
      <rPr>
        <sz val="10"/>
        <rFont val="Noto Sans CJK SC"/>
        <family val="2"/>
      </rPr>
      <t xml:space="preserve">用本地 </t>
    </r>
    <r>
      <rPr>
        <sz val="10"/>
        <rFont val="Arial"/>
        <family val="0"/>
        <charset val="1"/>
      </rPr>
      <t xml:space="preserve">qwen3:8b </t>
    </r>
    <r>
      <rPr>
        <sz val="10"/>
        <rFont val="Noto Sans CJK SC"/>
        <family val="2"/>
      </rPr>
      <t xml:space="preserve">理解文本（需先启动 </t>
    </r>
    <r>
      <rPr>
        <sz val="10"/>
        <rFont val="Arial"/>
        <family val="0"/>
        <charset val="1"/>
      </rPr>
      <t xml:space="preserve">Ollama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</si>
  <si>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输出 </t>
    </r>
    <r>
      <rPr>
        <sz val="10"/>
        <rFont val="Arial"/>
        <family val="0"/>
        <charset val="1"/>
      </rPr>
      <t xml:space="preserve">evaluation/recall773_report.json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recall773_report.md</t>
    </r>
    <r>
      <rPr>
        <sz val="10"/>
        <rFont val="Noto Sans CJK SC"/>
        <family val="2"/>
      </rPr>
      <t xml:space="preserve">；本表“本次结果”列来自 </t>
    </r>
    <r>
      <rPr>
        <sz val="10"/>
        <rFont val="Arial"/>
        <family val="0"/>
        <charset val="1"/>
      </rPr>
      <t xml:space="preserve">offline </t>
    </r>
    <r>
      <rPr>
        <sz val="10"/>
        <rFont val="Noto Sans CJK SC"/>
        <family val="2"/>
      </rPr>
      <t xml:space="preserve">运行（</t>
    </r>
    <r>
      <rPr>
        <sz val="10"/>
        <rFont val="Arial"/>
        <family val="0"/>
        <charset val="1"/>
      </rPr>
      <t xml:space="preserve">2026-10-15 07:32 UTC</t>
    </r>
    <r>
      <rPr>
        <sz val="10"/>
        <rFont val="Noto Sans CJK SC"/>
        <family val="2"/>
      </rPr>
      <t xml:space="preserve">）。</t>
    </r>
  </si>
  <si>
    <t xml:space="preserve">颜色说明</t>
  </si>
  <si>
    <r>
      <rPr>
        <sz val="10"/>
        <rFont val="Noto Sans CJK SC"/>
        <family val="2"/>
      </rPr>
      <t xml:space="preserve">绿色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通过；橙色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未通过；黄色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已知缺口（功能尚未实现，不计入必过项）</t>
    </r>
  </si>
  <si>
    <r>
      <rPr>
        <sz val="10"/>
        <rFont val="Noto Sans CJK SC"/>
        <family val="2"/>
      </rPr>
      <t xml:space="preserve">“指标汇总”表中的通过数为公式，引用“测试用例”表的“结果”列；百分比指标为脚本计算值（来源：</t>
    </r>
    <r>
      <rPr>
        <sz val="10"/>
        <rFont val="Arial"/>
        <family val="0"/>
        <charset val="1"/>
      </rPr>
      <t xml:space="preserve">evaluation/recall773_report.json</t>
    </r>
    <r>
      <rPr>
        <sz val="10"/>
        <rFont val="Noto Sans CJK SC"/>
        <family val="2"/>
      </rPr>
      <t xml:space="preserve">）。</t>
    </r>
  </si>
  <si>
    <t xml:space="preserve">编号</t>
  </si>
  <si>
    <t xml:space="preserve">维度</t>
  </si>
  <si>
    <t xml:space="preserve">类型</t>
  </si>
  <si>
    <t xml:space="preserve">输入</t>
  </si>
  <si>
    <r>
      <rPr>
        <b val="true"/>
        <sz val="10"/>
        <color rgb="FFFFFFFF"/>
        <rFont val="Noto Sans CJK SC"/>
        <family val="2"/>
      </rPr>
      <t xml:space="preserve">设置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操作</t>
    </r>
  </si>
  <si>
    <r>
      <rPr>
        <b val="true"/>
        <sz val="10"/>
        <color rgb="FFFFFFFF"/>
        <rFont val="Noto Sans CJK SC"/>
        <family val="2"/>
      </rPr>
      <t xml:space="preserve">预期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通过标准</t>
    </r>
  </si>
  <si>
    <t xml:space="preserve">本次结果</t>
  </si>
  <si>
    <t xml:space="preserve">结果</t>
  </si>
  <si>
    <t xml:space="preserve">A01</t>
  </si>
  <si>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检索准确率 </t>
    </r>
    <r>
      <rPr>
        <sz val="10"/>
        <rFont val="Arial"/>
        <family val="0"/>
        <charset val="1"/>
      </rPr>
      <t xml:space="preserve">/ Q </t>
    </r>
    <r>
      <rPr>
        <sz val="10"/>
        <rFont val="Noto Sans CJK SC"/>
        <family val="2"/>
      </rPr>
      <t xml:space="preserve">提问效率</t>
    </r>
  </si>
  <si>
    <t xml:space="preserve">respiratory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</si>
  <si>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fever, cough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fever and a cough, and I ache all over.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fever, cough, ache all over, chills, fatigue, headache, sore throat, nasal congestion, muscle pain</t>
    </r>
  </si>
  <si>
    <r>
      <rPr>
        <sz val="10"/>
        <rFont val="Noto Sans CJK SC"/>
        <family val="2"/>
      </rPr>
      <t xml:space="preserve">模拟病人按症状列表回答；最多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轮；结构化与文本开场各跑一次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</si>
  <si>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flu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common cold, acute bronchitis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</si>
  <si>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11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strep throat; common cold; flu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Fever, Cough, Body ache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</si>
  <si>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PASS</t>
  </si>
  <si>
    <t xml:space="preserve">A02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</si>
  <si>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coryza, sneezing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runny nose, I keep sneezing and I have a sore throat.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coryza, sneezing, sore throat, nasal congestion, cough, headache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</si>
  <si>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common cold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acute sinusitis, seasonal allergies (hay fever), flu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</si>
  <si>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seasonal allergies (hay fever); tracheitis; nose disorder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Rhinorrhea, Sneeze, Pharyngitis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</si>
  <si>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A03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</si>
  <si>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sore throat, fever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very sore throat and a fever.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sore throat, fever, difficulty in swallowing, swollen lymph nodes, headache, swollen or red tonsils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</si>
  <si>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strep throat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tonsillitis, pharyngitis, peritonsillar abscess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</si>
  <si>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abscess of the pharynx; strep throat; mucositis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Pharyngitis, Fever, Headache, Nasal obstruction, Rhinitis, Ear pain, Chills, Vomiting, Dysphagia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</si>
  <si>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A04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</si>
  <si>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cough, coughing up sputum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cough with sputum, a fever and shortness of breath.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cough, coughing up sputum, fever, shortness of breath, chills, sharp chest pain, fatigue, breathing fast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</si>
  <si>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pneumonia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acute bronchitis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</si>
  <si>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asthma; chronic obstructive pulmonary disease (copd); acute bronchitis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Cough, Productive cough, Fever, Dyspnea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</si>
  <si>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A05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</si>
  <si>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wheezing, shortness of breath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wheezing and shortness of breath.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wheezing, shortness of breath, chest tightness, cough, difficulty breathing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</si>
  <si>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asthma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acute bronchospasm, chronic obstructive pulmonary disease (copd)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</si>
  <si>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acute respiratory distress syndrome (ards); acute bronchospasm; asthma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Wheezing, Dyspnea, Difficulty breathing, Pharyngalgia, Chest tightness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</si>
  <si>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A06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</si>
  <si>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cough, coughing up sputum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cough with phlegm and congestion in my chest.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cough, coughing up sputum, congestion in chest, sore throat, fatigue, nasal congestion, wheezing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</si>
  <si>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acute bronchitis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common cold, pneumonia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</si>
  <si>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acute bronchitis; chronic obstructive pulmonary disease (copd); acute sinusitis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Productive cough, Pharyngalgia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</si>
  <si>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A07</t>
  </si>
  <si>
    <t xml:space="preserve">digestive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</si>
  <si>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diarrhea, vomiting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diarrhea and vomiting.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diarrhea, vomiting, nausea, sharp abdominal pain, fever, decreased appetite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</si>
  <si>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infectious gastroenteritis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noninfectious gastroenteritis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</si>
  <si>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appendicitis; noninfectious gastroenteritis; infectious gastroenteritis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Diarrhea, Vomiting, Headache, Hematochezia, Burning abdominal pain, Syncope, Chills, Chest pain, Fever, Poor appetite, Fluid retention, Abdominal distention, Lower abdominal pain, Side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</si>
  <si>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A08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</si>
  <si>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sharp abdominal pain, lower abdominal pain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sharp abdominal pain in my lower belly and nausea.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sharp abdominal pain, lower abdominal pain, nausea, vomiting, fever, decreased appetite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</si>
  <si>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appendicitis
</t>
    </r>
    <r>
      <rPr>
        <sz val="10"/>
        <rFont val="Noto Sans CJK SC"/>
        <family val="2"/>
      </rPr>
      <t xml:space="preserve">可接受：（无）
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</si>
  <si>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ileus; ulcerative colitis; pelvic inflammatory disease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Abdominal pain, Nausea, Lower abdominal pain, Diarrhea, Back pain, Pelvic pain, Anal pain, Burning abdominal pain, Constipation, Suprapubic pain, Dysuria, Headache, Vaginal discharge, Metrorrhagia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</si>
  <si>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FAIL</t>
  </si>
  <si>
    <t xml:space="preserve">A09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</si>
  <si>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heartburn, regurgitation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heartburn and regurgitation after meals.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heartburn, regurgitation, burning chest pain, difficulty in swallowing, cough, sore throat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</si>
  <si>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gastroesophageal reflux disease (gerd)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esophagitis, hiatal hernia, indigestion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</si>
  <si>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iron deficiency anemia; hiatal hernia; cirrhosis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Gastroesophageal reflux, Regurgitation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</si>
  <si>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A10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</si>
  <si>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upper abdominal pain, sharp abdominal pain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upper abdominal pain and nausea after fatty meals.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upper abdominal pain, sharp abdominal pain, nausea, vomiting, back pain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</si>
  <si>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gallstone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cholecystitis, choledocholithiasis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</si>
  <si>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esophagitis; diverticulitis; choledocholithiasis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Upper abdominal pain, Nausea, Diarrhea, Gastroesophageal reflux, Side pain, Hematochezia, Dysphagia, Chest tightness, Chills, Cough, Dyspnea, Pharyngalgia, Chest pain, Lower abdominal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</si>
  <si>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A11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</si>
  <si>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stomach bloating, abdominal distention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stomach bloating, constipation and diarrhea on and off.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stomach bloating, abdominal distention, constipation, diarrhea, sharp abdominal pain, flatulence, changes in stool appearance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</si>
  <si>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irritable bowel syndrome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chronic constipation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</si>
  <si>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cirrhosis; cholecystitis; alcoholic liver disease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Abdominal distention, Constipation, Diarrhea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</si>
  <si>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A12</t>
  </si>
  <si>
    <t xml:space="preserve">cardiovascular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</si>
  <si>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sharp chest pain, chest tightness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sharp chest pain, I am sweating and I have shortness of breath.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sharp chest pain, chest tightness, sweating, shortness of breath, nausea, arm pain, dizziness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</si>
  <si>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heart attack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angina, coronary atherosclerosis, ischemic heart disease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
红旗病例：应提示立即就医（已知缺口）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</si>
  <si>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paroxysmal ventricular tachycardia; chronic rheumatic fever; arrhythmia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Chest pain, Hyperhidrosis, Dyspnea, Fatigue, Vertigo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</si>
  <si>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A13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</si>
  <si>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chest tightness, sharp chest pain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get chest tightness when I walk that goes away when I rest.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chest tightness, sharp chest pain, shortness of breath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</si>
  <si>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angina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coronary atherosclerosis, ischemic heart disease, heart attack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</si>
  <si>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chronic obstructive pulmonary disease (copd); thoracic aortic aneurysm; sarcoidosis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Chest tightness, Asthenia, Vertigo, Cough, Fatigue, Difficulty breathing, Fever, Arrhythmia, Palpitations, Tachycardia, Bradycardia, Syncope, Peripheral edema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</si>
  <si>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A14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</si>
  <si>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palpitations, irregular heartbeat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palpitations and an irregular heartbeat.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palpitations, irregular heartbeat, increased heart rate, dizziness, shortness of breath, fatigue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</si>
  <si>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atrial fibrillation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arrhythmia, paroxysmal supraventricular tachycardia, atrial flutter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</si>
  <si>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atrial fibrillation; endocarditis; paroxysmal ventricular tachycardia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Palpitations, Arrhythmia, Vertigo, Chest pain, Tachycardia, Bradycardia, Asthenia, Syncope, Fatigue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</si>
  <si>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A15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</si>
  <si>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leg swelling, leg pain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My leg is swollen and I have leg pain.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leg swelling, leg pain, skin swelling, peripheral edema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</si>
  <si>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deep vein thrombosis (dvt)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thrombophlebitis, venous insufficiency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</si>
  <si>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fracture of the leg; bursitis; chronic knee pain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</si>
  <si>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A16</t>
  </si>
  <si>
    <t xml:space="preserve">neurological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</si>
  <si>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headache, nausea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headache with nausea and spots in my vision.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headache, nausea, vomiting, diminished vision, spots or clouds in vision, dizziness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</si>
  <si>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migraine
</t>
    </r>
    <r>
      <rPr>
        <sz val="10"/>
        <rFont val="Noto Sans CJK SC"/>
        <family val="2"/>
      </rPr>
      <t xml:space="preserve">可接受：（无）
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</si>
  <si>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drug reaction; carbon monoxide poisoning; labyrinthitis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Headache, Nausea, Abdominal pain, Vertigo, Depressive or psychotic symptoms, Asthenia, Emotional symptoms, Immunologic hypersensitivity, Abnormality of the skin, Dyspnea, Peripheral edema, Pharyngeal edema, Vomiting, Pruritus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</si>
  <si>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A17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</si>
  <si>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headache, frontal headache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headache and neck pain when I am stressed.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headache, frontal headache, neck pain, neck stiffness or tightness, anxiety and nervousness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</si>
  <si>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tension headache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migraine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</si>
  <si>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chronic sinusitis; benign paroxysmal positional vertical (bppv); nasal polyp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Headache, Neck pain, Nausea, Upper limb pain, Vomiting, Vertigo, Back pain, Low back pain, Neck stiffness or tightness, Bleeding from ear, Ear pain, Epistaxis, Hearing impairment, Mouth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</si>
  <si>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A18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</si>
  <si>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slurring words, focal weakness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am slurring words and I have weakness in one arm.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slurring words, focal weakness, arm weakness, difficulty speaking, symptoms of the face, loss of sensation, headache, dizziness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</si>
  <si>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stroke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transient ischemic attack, intracerebral hemorrhage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
红旗病例：应提示立即就医（已知缺口）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</si>
  <si>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brain cancer; delirium; stroke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Dysarthria, Abnormality of movement, Asthenia, Involuntary movements, Depressive or psychotic symptoms, Memory impairment, Headache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</si>
  <si>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A19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</si>
  <si>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dizziness, nausea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feel dizzy when I turn my head and I have nausea.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dizziness, nausea, vomiting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</si>
  <si>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benign paroxysmal positional vertical (bppv)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labyrinthitis, meniere disease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</si>
  <si>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carbon monoxide poisoning; hyperkalemia; hypovolemia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Presyncope, Nausea, Headache, Abdominal pain, Diarrhea, Feeling ill, Depressive or psychotic symptoms, Asthenia, Syncope, Hematemesis, Vomiting, Emotional symptoms, Dyspnea, Fever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</si>
  <si>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A20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</si>
  <si>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headache, fever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severe headache, a fever and a stiff neck.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headache, fever, neck stiffness or tightness, vomiting, nausea, sleepiness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</si>
  <si>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meningitis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encephalitis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
红旗病例：应提示立即就医（已知缺口）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</si>
  <si>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strep throat; flu; gastritis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Headache, Fever, Stiff neck, Vomiting, Abdominal pain, Burning abdominal pain, Chills, Poor appetite, Chest pain, Fluid retention, Hematochezia, Cough, Pharyngalgia, Body ache, Diarrhea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</si>
  <si>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A21</t>
  </si>
  <si>
    <t xml:space="preserve">urinary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</si>
  <si>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painful urination, frequent urination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painful urination and frequent urination.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painful urination, frequent urination, suprapubic pain, blood in urine, unusual color or odor to urine, lower abdominal pain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</si>
  <si>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urinary tract infection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cystitis, pyelonephritis, urethritis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</si>
  <si>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bladder disorder; kidney stone; cystitis
</t>
    </r>
    <r>
      <rPr>
        <sz val="10"/>
        <rFont val="Noto Sans CJK SC"/>
        <family val="2"/>
      </rPr>
      <t xml:space="preserve">文本开场识别：（无） → 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</si>
  <si>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A22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</si>
  <si>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side pain, blood in urine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side pain and blood in my urine.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side pain, blood in urine, back pain, nausea, vomiting, painful urination, sharp abdominal pain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</si>
  <si>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kidney stone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pyelonephritis, hydronephrosis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</si>
  <si>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pyelonephritis; urinary tract infection; benign kidney cyst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Side pain, Hematuria, Vomiting, Urinary retention, Nausea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</si>
  <si>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A23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</si>
  <si>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hesitancy, excessive urination at night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hesitancy when I urinate and I wake up at night to urinate.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hesitancy, excessive urination at night, frequent urination, retention of urine, symptoms of prostate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</si>
  <si>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benign prostatic hyperplasia (bph)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prostatitis, prostate cancer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</si>
  <si>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benign prostatic hyperplasia (bph); bladder obstruction; urge incontinence
</t>
    </r>
    <r>
      <rPr>
        <sz val="10"/>
        <rFont val="Noto Sans CJK SC"/>
        <family val="2"/>
      </rPr>
      <t xml:space="preserve">文本开场识别：（无） → 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</si>
  <si>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A24</t>
  </si>
  <si>
    <t xml:space="preserve">eye_ent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</si>
  <si>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eye redness, itchiness of eye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My eye is red and itchy with a white discharge.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eye redness, itchiness of eye, white discharge from eye, lacrimation, swollen eye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</si>
  <si>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conjunctivitis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conjunctivitis due to bacteria, conjunctivitis due to virus, conjunctivitis due to allergy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</si>
  <si>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conjunctivitis due to virus; blepharitis; conjunctivitis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Conjunctival hyperemia, Pruritus, Finger swelling, Immunologic hypersensitivity, Edema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</si>
  <si>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A25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</si>
  <si>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ear pain, fever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ear pain and a fever.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ear pain, fever, diminished hearing, fluid in ear, plugged feeling in ear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</si>
  <si>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acute otitis media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otitis media, otitis externa (swimmer's ear), chronic otitis media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</si>
  <si>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ear wax impaction; otitis media; acute otitis media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Ear pain, Fever, Rhinitis, Pain in head and neck region, Headache, Vomiting, Redness in ear, Pharyngalgia, Poor appetite, Hearing impairment, Tinnitus, Pulling at ears, Sinusitis, Itchy ear(s)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</si>
  <si>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A26</t>
  </si>
  <si>
    <t xml:space="preserve">skin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</si>
  <si>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itching of skin, skin rash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itchy skin with a dry, scaly rash.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itching of skin, skin rash, skin dryness, peeling, scaliness, or roughness, abnormal appearing skin, skin irritation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</si>
  <si>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eczema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contact dermatitis, psoriasis, seborrheic dermatitis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</si>
  <si>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actinic keratosis; contact dermatitis; fungal infection of the hair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Pruritus, Skin rash, Dry skin, Skin nodule, Skin irritation, Immunologic hypersensitivity, Melanocytic nevus, Itchy scalp, Pelvic pain, Abnormal scalp morphology, Swollen eye, Abnormality of the face, Acne or pimples, Cough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</si>
  <si>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A27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</si>
  <si>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skin rash, itching of skin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an itchy skin rash and a fever.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skin rash, itching of skin, fever, skin lesion, fatigue, headache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</si>
  <si>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chickenpox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viral exanthem, shingles (herpes zoster)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</si>
  <si>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fungal infection of the skin; contact dermatitis; psoriasis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Pruritus, Skin rash, Fever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</si>
  <si>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A28</t>
  </si>
  <si>
    <t xml:space="preserve">musculoskeletal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</si>
  <si>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low back pain, back pain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low back pain that goes down my leg.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low back pain, back pain, leg pain, paresthesia, loss of sensation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</si>
  <si>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sciatica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herniated disk, degenerative disc disease, lumbago, chronic back pain, spinal stenosis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</si>
  <si>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fibromyalgia; arthritis of the hip; scoliosis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Low back pain, Headache, Neck pain, Upper limb pain, Hip pain, Lower body pain, Back pain, Chest pain, Abnormality of movement, Side pain, Body ache, Lower limb pain, Knee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</si>
  <si>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A29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</si>
  <si>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foot or toe pain, foot or toe swelling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My big toe is swollen and very painful.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foot or toe pain, foot or toe swelling, joint pain, joint swelling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</si>
  <si>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gout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septic arthritis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</si>
  <si>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pyogenic skin infection; gout; fracture of the ankle
</t>
    </r>
    <r>
      <rPr>
        <sz val="10"/>
        <rFont val="Noto Sans CJK SC"/>
        <family val="2"/>
      </rPr>
      <t xml:space="preserve">文本开场识别：（无） → 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</si>
  <si>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A30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</si>
  <si>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knee pain, knee stiffness or tightness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knee pain and knee stiffness in the morning.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knee pain, knee stiffness or tightness, knee swelling, joint pain, problems with movement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</si>
  <si>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osteoarthritis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chronic knee pain, knee ligament or meniscus tear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</si>
  <si>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joint effusion; injury to the leg; chondromalacia of the patella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Knee pain, Back pain, Bone pain, Body ache, Abnormality of movement, Knee swelling, Ankle pain, Ankle swelling, Knee weakness, Stiff knee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</si>
  <si>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A31</t>
  </si>
  <si>
    <t xml:space="preserve">mental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</si>
  <si>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depression, insomnia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feel depressed, I have insomnia and I have no energy.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depression, insomnia, fatigue, decreased appetite, low self-esteem, depressive or psychotic symptoms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</si>
  <si>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depression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dysthymic disorder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</si>
  <si>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personality disorder; schizophrenia; obsessive compulsive disorder (ocd)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Depressivity, Sleep disturbance, Fatigue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</si>
  <si>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A32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</si>
  <si>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anxiety and nervousness, palpitations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feel anxious and nervous and I have palpitations.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anxiety and nervousness, palpitations, shortness of breath, sweating, dizziness, chest tightness, fears and phobias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</si>
  <si>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panic attack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panic disorder, anxiety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</si>
  <si>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drug abuse (methamphetamine); panic disorder; anxiety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Anxiety, Palpitations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</si>
  <si>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A33</t>
  </si>
  <si>
    <t xml:space="preserve">endocrine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</si>
  <si>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feeling cold, fatigue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always feel cold, I am tired and I have weight gain.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feeling cold, fatigue, weight gain, constipation, skin dryness, peeling, scaliness, or roughness, depression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</si>
  <si>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hypothyroidism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hashimoto thyroiditis, thyroid disease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</si>
  <si>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chronic kidney disease; muscular dystrophy; multiple myeloma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Feeling cold, Fatigue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</si>
  <si>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A34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</si>
  <si>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thirst, polyuria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excessive thirst and I urinate a lot.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thirst, polyuria, frequent urination, recent weight loss, fatigue, diminished vision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</si>
  <si>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diabetes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diabetes insipidus, diabetic ketoacidosis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</si>
  <si>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diabetes; mastectomy; postoperative infection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Polydipsia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</si>
  <si>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A35</t>
  </si>
  <si>
    <t xml:space="preserve">blood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</si>
  <si>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fatigue, weakness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feel tired and weak and I look pale.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fatigue, weakness, pallor, dizziness, shortness of breath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</si>
  <si>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anemia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iron deficiency anemia, vitamin b12 deficiency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</si>
  <si>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myasthenia gravis; anemia; arrhythmia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Fatigue, Pallor, Sleep disturbance, Dyspnea, Arrhythmia, Apnea, Drowsiness, Vertigo, Chest tightness, Palpitations, Syncope, Chest pain, Muscular edema, Asthenia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</si>
  <si>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A36</t>
  </si>
  <si>
    <t xml:space="preserve">dental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</si>
  <si>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toothache, pain in gums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a toothache and pain in my gums.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toothache, pain in gums, facial pain, jaw swelling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</si>
  <si>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dental caries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tooth abscess, tooth disorder, gum disease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</si>
  <si>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dental caries; tooth abscess; tooth disorder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Toothache, Pain, Pain in gums, Edema, Gingival bleeding, Mouth pain, Neck swelling, Oral ulcer, Swollen lip, Ear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</si>
  <si>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A37</t>
  </si>
  <si>
    <t xml:space="preserve">womens_health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</si>
  <si>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vaginal itching, vaginal discharge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vaginal itching and vaginal discharge.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vaginal itching, vaginal discharge, vulvar irritation, vaginal redness, pain during intercourse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</si>
  <si>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vaginal yeast infection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vaginitis, yeast infection, benign vaginal discharge (leukorrhea)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</si>
  <si>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开场金标准排名：未进前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6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candidate_threshold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vulvar disorder; cervical cancer; vaginal yeast infection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Pruritus, Vaginal discharge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命中：是</t>
    </r>
  </si>
  <si>
    <t xml:space="preserve">A38</t>
  </si>
  <si>
    <r>
      <rPr>
        <sz val="10"/>
        <rFont val="Noto Sans CJK SC"/>
        <family val="2"/>
      </rPr>
      <t xml:space="preserve">结构化开场：</t>
    </r>
    <r>
      <rPr>
        <sz val="10"/>
        <rFont val="Arial"/>
        <family val="0"/>
        <charset val="1"/>
      </rPr>
      <t xml:space="preserve">blood in stool, pain of the anus
</t>
    </r>
    <r>
      <rPr>
        <sz val="10"/>
        <rFont val="Noto Sans CJK SC"/>
        <family val="2"/>
      </rPr>
      <t xml:space="preserve">文本开场：</t>
    </r>
    <r>
      <rPr>
        <sz val="10"/>
        <rFont val="Arial"/>
        <family val="0"/>
        <charset val="1"/>
      </rPr>
      <t xml:space="preserve">I have blood in my stool and pain of the anus.
</t>
    </r>
    <r>
      <rPr>
        <sz val="10"/>
        <rFont val="Noto Sans CJK SC"/>
        <family val="2"/>
      </rPr>
      <t xml:space="preserve">病人全部症状：</t>
    </r>
    <r>
      <rPr>
        <sz val="10"/>
        <rFont val="Arial"/>
        <family val="0"/>
        <charset val="1"/>
      </rPr>
      <t xml:space="preserve">blood in stool, pain of the anus, rectal bleeding, itching of the anus, mass or swelling around the anus</t>
    </r>
  </si>
  <si>
    <r>
      <rPr>
        <sz val="10"/>
        <rFont val="Noto Sans CJK SC"/>
        <family val="2"/>
      </rPr>
      <t xml:space="preserve">金标准：</t>
    </r>
    <r>
      <rPr>
        <sz val="10"/>
        <rFont val="Arial"/>
        <family val="0"/>
        <charset val="1"/>
      </rPr>
      <t xml:space="preserve">hemorrhoids
</t>
    </r>
    <r>
      <rPr>
        <sz val="10"/>
        <rFont val="Noto Sans CJK SC"/>
        <family val="2"/>
      </rPr>
      <t xml:space="preserve">可接受：</t>
    </r>
    <r>
      <rPr>
        <sz val="10"/>
        <rFont val="Arial"/>
        <family val="0"/>
        <charset val="1"/>
      </rPr>
      <t xml:space="preserve">anal fissure
</t>
    </r>
    <r>
      <rPr>
        <sz val="10"/>
        <rFont val="Noto Sans CJK SC"/>
        <family val="2"/>
      </rPr>
      <t xml:space="preserve">通过：问诊结束后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含金标准或可接受诊断</t>
    </r>
  </si>
  <si>
    <r>
      <rPr>
        <sz val="10"/>
        <rFont val="Noto Sans CJK SC"/>
        <family val="2"/>
      </rPr>
      <t xml:space="preserve">开场金标准排名：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；提问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次；停止：</t>
    </r>
    <r>
      <rPr>
        <sz val="10"/>
        <rFont val="Arial"/>
        <family val="0"/>
        <charset val="1"/>
      </rPr>
      <t xml:space="preserve">max_rounds
</t>
    </r>
    <r>
      <rPr>
        <sz val="10"/>
        <rFont val="Noto Sans CJK SC"/>
        <family val="2"/>
      </rPr>
      <t xml:space="preserve">最终 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colorectal cancer; hemorrhoids; chronic constipation
</t>
    </r>
    <r>
      <rPr>
        <sz val="10"/>
        <rFont val="Noto Sans CJK SC"/>
        <family val="2"/>
      </rPr>
      <t xml:space="preserve">文本开场识别：</t>
    </r>
    <r>
      <rPr>
        <sz val="10"/>
        <rFont val="Arial"/>
        <family val="0"/>
        <charset val="1"/>
      </rPr>
      <t xml:space="preserve">Hematochezia, Pain, Diarrhea, Rectal bleeding, Burning abdominal pain, Nausea, Vomiting, Melena, Constipation, Gastroesophageal reflux, Anal pain, Regurgitation, Regurgitation (second variant), Abdominal pain → </t>
    </r>
    <r>
      <rPr>
        <sz val="10"/>
        <rFont val="Noto Sans CJK SC"/>
        <family val="2"/>
      </rPr>
      <t xml:space="preserve">最终</t>
    </r>
    <r>
      <rPr>
        <sz val="10"/>
        <rFont val="Arial"/>
        <family val="0"/>
        <charset val="1"/>
      </rPr>
      <t xml:space="preserve">Top-3</t>
    </r>
    <r>
      <rPr>
        <sz val="10"/>
        <rFont val="Noto Sans CJK SC"/>
        <family val="2"/>
      </rPr>
      <t xml:space="preserve">命中：否</t>
    </r>
  </si>
  <si>
    <t xml:space="preserve">R01</t>
  </si>
  <si>
    <r>
      <rPr>
        <sz val="10"/>
        <rFont val="Arial"/>
        <family val="0"/>
        <charset val="1"/>
      </rPr>
      <t xml:space="preserve">R </t>
    </r>
    <r>
      <rPr>
        <sz val="10"/>
        <rFont val="Noto Sans CJK SC"/>
        <family val="2"/>
      </rPr>
      <t xml:space="preserve">鲁棒性</t>
    </r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</si>
  <si>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·colloquial</t>
    </r>
  </si>
  <si>
    <t xml:space="preserve">I've been throwing up and I have the runs.</t>
  </si>
  <si>
    <t xml:space="preserve">单句开场，检查传入模型的症状及状态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</si>
  <si>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vomiting: present, diarrhea: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</si>
  <si>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Vomiting (present), Diarrhea (present)</t>
    </r>
  </si>
  <si>
    <t xml:space="preserve">R02</t>
  </si>
  <si>
    <t xml:space="preserve">My tummy hurts and I feel sick to my stomach.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</si>
  <si>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sharp abdominal pain: present, nausea: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</si>
  <si>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Abdominal pain (present), Nausea (present)</t>
    </r>
  </si>
  <si>
    <t xml:space="preserve">R03</t>
  </si>
  <si>
    <t xml:space="preserve">I can't catch my breath.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</si>
  <si>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shortness of breath: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</si>
  <si>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Dyspnea (present)</t>
    </r>
  </si>
  <si>
    <t xml:space="preserve">R04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</si>
  <si>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·typo</t>
    </r>
  </si>
  <si>
    <t xml:space="preserve">I have a feaver and a cogh.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</si>
  <si>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fever: present, cough: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</si>
  <si>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Fever (present), Cough (present)</t>
    </r>
  </si>
  <si>
    <t xml:space="preserve">R05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</si>
  <si>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·spelling_variant</t>
    </r>
  </si>
  <si>
    <t xml:space="preserve">I have diarrhoea.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</si>
  <si>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diarrhea: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</si>
  <si>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Diarrhea (present)</t>
    </r>
  </si>
  <si>
    <t xml:space="preserve">R06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</si>
  <si>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·negation</t>
    </r>
  </si>
  <si>
    <t xml:space="preserve">I have a cough but no fever.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</si>
  <si>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cough: present, fever: absent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</si>
  <si>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Cough (present), Fever (absent)</t>
    </r>
  </si>
  <si>
    <t xml:space="preserve">R07</t>
  </si>
  <si>
    <t xml:space="preserve">I dont have a headache, but I have nausea.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</si>
  <si>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absent, nausea: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</si>
  <si>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Headache (absent), Nausea (present)</t>
    </r>
  </si>
  <si>
    <t xml:space="preserve">R08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</si>
  <si>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·uncertainty</t>
    </r>
  </si>
  <si>
    <t xml:space="preserve">I have a sore throat and I'm not sure if I have a fever.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</si>
  <si>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sore throat: present, fever: uncertain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</si>
  <si>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Pharyngitis (present), Fever (uncertain)</t>
    </r>
  </si>
  <si>
    <t xml:space="preserve">R09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</si>
  <si>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·other_person</t>
    </r>
  </si>
  <si>
    <t xml:space="preserve">My father has a cough. I have a headache.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</si>
  <si>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cough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</si>
  <si>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Headache (present)</t>
    </r>
  </si>
  <si>
    <t xml:space="preserve">R10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</si>
  <si>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·history</t>
    </r>
  </si>
  <si>
    <t xml:space="preserve">I had a cough last year. Now I have a headache.</t>
  </si>
  <si>
    <t xml:space="preserve">R11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</si>
  <si>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·no_symptom</t>
    </r>
  </si>
  <si>
    <t xml:space="preserve">Hello, can you help me?</t>
  </si>
  <si>
    <t xml:space="preserve">模型收到：不记录任何症状，不产生候选</t>
  </si>
  <si>
    <t xml:space="preserve">识别到：（无）</t>
  </si>
  <si>
    <t xml:space="preserve">R12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</si>
  <si>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·out_of_scope</t>
    </r>
  </si>
  <si>
    <t xml:space="preserve">What is the weather in Singapore today?</t>
  </si>
  <si>
    <t xml:space="preserve">R13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</si>
  <si>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·formatting</t>
    </r>
  </si>
  <si>
    <t xml:space="preserve">FEVER!!! COUGH???</t>
  </si>
  <si>
    <t xml:space="preserve">R14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</si>
  <si>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·filler_words</t>
    </r>
  </si>
  <si>
    <t xml:space="preserve">Well, um, I guess I have a headache and, like, some nausea.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</si>
  <si>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present, nausea: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</si>
  <si>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Headache (present), Nausea (present)</t>
    </r>
  </si>
  <si>
    <t xml:space="preserve">R15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</si>
  <si>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·lay_term</t>
    </r>
  </si>
  <si>
    <t xml:space="preserve">I feel dizzy.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</si>
  <si>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dizziness: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</si>
  <si>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Presyncope (present)</t>
    </r>
  </si>
  <si>
    <t xml:space="preserve">R16</t>
  </si>
  <si>
    <t xml:space="preserve">I have a runny nose.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</si>
  <si>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coryza: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</si>
  <si>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Rhinorrhea (present)</t>
    </r>
  </si>
  <si>
    <t xml:space="preserve">R17</t>
  </si>
  <si>
    <t xml:space="preserve">I have a sore throat.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</si>
  <si>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sore throat: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</si>
  <si>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Pharyngitis (present)</t>
    </r>
  </si>
  <si>
    <t xml:space="preserve">R18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</si>
  <si>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·modifier</t>
    </r>
  </si>
  <si>
    <t xml:space="preserve">I have a severe headache.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</si>
  <si>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present</t>
    </r>
  </si>
  <si>
    <t xml:space="preserve">R19</t>
  </si>
  <si>
    <r>
      <rPr>
        <sz val="10"/>
        <rFont val="Noto Sans CJK SC"/>
        <family val="2"/>
      </rPr>
      <t xml:space="preserve">开发集</t>
    </r>
    <r>
      <rPr>
        <sz val="10"/>
        <rFont val="Arial"/>
        <family val="0"/>
        <charset val="1"/>
      </rPr>
      <t xml:space="preserve">·self_correction</t>
    </r>
  </si>
  <si>
    <t xml:space="preserve">I have a fever. Actually, no fever.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</si>
  <si>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fever: absent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</si>
  <si>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Fever (absent)</t>
    </r>
  </si>
  <si>
    <t xml:space="preserve">R20</t>
  </si>
  <si>
    <t xml:space="preserve">My skin is itchy.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</si>
  <si>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itching of skin: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</si>
  <si>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Pruritus (present)</t>
    </r>
  </si>
  <si>
    <t xml:space="preserve">H01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</si>
  <si>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·colloquial</t>
    </r>
  </si>
  <si>
    <t xml:space="preserve">I keep puking and my stomach is upset.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</si>
  <si>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vomiting: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</si>
  <si>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Vomiting (present)</t>
    </r>
  </si>
  <si>
    <t xml:space="preserve">H02</t>
  </si>
  <si>
    <t xml:space="preserve">I've had loose stools since yesterday.</t>
  </si>
  <si>
    <t xml:space="preserve">H03</t>
  </si>
  <si>
    <t xml:space="preserve">My head is killing me.</t>
  </si>
  <si>
    <t xml:space="preserve">H04</t>
  </si>
  <si>
    <t xml:space="preserve">I'm really out of breath.</t>
  </si>
  <si>
    <t xml:space="preserve">H05</t>
  </si>
  <si>
    <t xml:space="preserve">My nose is stuffed up.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</si>
  <si>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nasal congestion: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</si>
  <si>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Nasal obstruction (present)</t>
    </r>
  </si>
  <si>
    <t xml:space="preserve">H06</t>
  </si>
  <si>
    <t xml:space="preserve">I feel lightheaded.</t>
  </si>
  <si>
    <t xml:space="preserve">H07</t>
  </si>
  <si>
    <t xml:space="preserve">It hurts when I pee.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</si>
  <si>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painful urination: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</si>
  <si>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Dysuria (present)</t>
    </r>
  </si>
  <si>
    <t xml:space="preserve">H08</t>
  </si>
  <si>
    <t xml:space="preserve">My joints ache.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</si>
  <si>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joint pain: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</si>
  <si>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Arthralgia (present)</t>
    </r>
  </si>
  <si>
    <t xml:space="preserve">H09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</si>
  <si>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·typo</t>
    </r>
  </si>
  <si>
    <t xml:space="preserve">I have a bad hedache.</t>
  </si>
  <si>
    <t xml:space="preserve">H10</t>
  </si>
  <si>
    <t xml:space="preserve">I have been vomitting.</t>
  </si>
  <si>
    <t xml:space="preserve">H11</t>
  </si>
  <si>
    <t xml:space="preserve">I feel nausious.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</si>
  <si>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nausea: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</si>
  <si>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Nausea (present)</t>
    </r>
  </si>
  <si>
    <t xml:space="preserve">H12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</si>
  <si>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·spelling_variant</t>
    </r>
  </si>
  <si>
    <t xml:space="preserve">I have oedema.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</si>
  <si>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skin swelling: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</si>
  <si>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Edema (present)</t>
    </r>
  </si>
  <si>
    <t xml:space="preserve">H13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</si>
  <si>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·negation</t>
    </r>
  </si>
  <si>
    <t xml:space="preserve">I havent had any fever.</t>
  </si>
  <si>
    <t xml:space="preserve">H14</t>
  </si>
  <si>
    <t xml:space="preserve">No cough, but my throat is sore.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</si>
  <si>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cough: absent, sore throat: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</si>
  <si>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Cough (absent)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sore throat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</si>
  <si>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H15</t>
  </si>
  <si>
    <t xml:space="preserve">I don't think I have diarrhea anymore.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</si>
  <si>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diarrhea: absent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</si>
  <si>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Diarrhea (absent)</t>
    </r>
  </si>
  <si>
    <t xml:space="preserve">H16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</si>
  <si>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·uncertainty</t>
    </r>
  </si>
  <si>
    <t xml:space="preserve">Maybe I have chills, I can't tell.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</si>
  <si>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chills: uncertain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</si>
  <si>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Chills (uncertain)</t>
    </r>
  </si>
  <si>
    <t xml:space="preserve">H17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</si>
  <si>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·other_person</t>
    </r>
  </si>
  <si>
    <t xml:space="preserve">My son is vomiting. I have a fever.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</si>
  <si>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fever: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vomiting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</si>
  <si>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Fever (present)</t>
    </r>
  </si>
  <si>
    <t xml:space="preserve">H18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</si>
  <si>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·false_friend</t>
    </r>
  </si>
  <si>
    <t xml:space="preserve">I was sitting on the couch when my back started to hurt.</t>
  </si>
  <si>
    <r>
      <rPr>
        <sz val="10"/>
        <rFont val="Noto Sans CJK SC"/>
        <family val="2"/>
      </rPr>
      <t xml:space="preserve">模型收到：不记录任何症状，不产生候选；不得记录：</t>
    </r>
    <r>
      <rPr>
        <sz val="10"/>
        <rFont val="Arial"/>
        <family val="0"/>
        <charset val="1"/>
      </rPr>
      <t xml:space="preserve">cough</t>
    </r>
  </si>
  <si>
    <t xml:space="preserve">H19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</si>
  <si>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·modifier</t>
    </r>
  </si>
  <si>
    <t xml:space="preserve">I have mild chronic fatigue.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</si>
  <si>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fatigue: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</si>
  <si>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Chronic fatigue (present)</t>
    </r>
  </si>
  <si>
    <t xml:space="preserve">H20</t>
  </si>
  <si>
    <r>
      <rPr>
        <sz val="10"/>
        <rFont val="Noto Sans CJK SC"/>
        <family val="2"/>
      </rPr>
      <t xml:space="preserve">留出集</t>
    </r>
    <r>
      <rPr>
        <sz val="10"/>
        <rFont val="Arial"/>
        <family val="0"/>
        <charset val="1"/>
      </rPr>
      <t xml:space="preserve">·lay_term</t>
    </r>
  </si>
  <si>
    <t xml:space="preserve">My eyes are watery and itchy.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</si>
  <si>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itchiness of eye: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</si>
  <si>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Pruritus (present)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itchiness of eye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</si>
  <si>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B01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</si>
  <si>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·colloquial</t>
    </r>
  </si>
  <si>
    <t xml:space="preserve">My head has been absolutely pounding since this morning</t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</si>
  <si>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headache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</si>
  <si>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B02</t>
  </si>
  <si>
    <t xml:space="preserve">I keep feeling like I'm about to throw up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</si>
  <si>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nausea: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vomiting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</si>
  <si>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nausea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</si>
  <si>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B03</t>
  </si>
  <si>
    <t xml:space="preserve">I'm running to the bathroom to pee like every hour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</si>
  <si>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frequent urination: present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</si>
  <si>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frequent urination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</si>
  <si>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B04</t>
  </si>
  <si>
    <t xml:space="preserve">It really burns when I pee</t>
  </si>
  <si>
    <t xml:space="preserve">B05</t>
  </si>
  <si>
    <t xml:space="preserve">The whole room spins whenever I stand up</t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</si>
  <si>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dizziness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</si>
  <si>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B06</t>
  </si>
  <si>
    <t xml:space="preserve">I can't catch my breath after walking up the stairs</t>
  </si>
  <si>
    <t xml:space="preserve">B07</t>
  </si>
  <si>
    <t xml:space="preserve">I'm completely wiped out all the time, zero energy</t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</si>
  <si>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fatigue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</si>
  <si>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B08</t>
  </si>
  <si>
    <t xml:space="preserve">My nose is all stuffed up and I can't stop sneezing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</si>
  <si>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nasal congestion: present, sneezing: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</si>
  <si>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Sneeze (present)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nasal congestion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</si>
  <si>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B09</t>
  </si>
  <si>
    <t xml:space="preserve">I've had the runs since yesterday</t>
  </si>
  <si>
    <t xml:space="preserve">B10</t>
  </si>
  <si>
    <t xml:space="preserve">I lie awake for hours every night and just can't drop off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</si>
  <si>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insomnia: present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</si>
  <si>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insomnia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</si>
  <si>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B11</t>
  </si>
  <si>
    <t xml:space="preserve">My heart keeps racing and fluttering in my chest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</si>
  <si>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palpitations: present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</si>
  <si>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palpitations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</si>
  <si>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B12</t>
  </si>
  <si>
    <t xml:space="preserve">I've got an itchy red rash all over my arms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</si>
  <si>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skin rash: present, itching of skin: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</si>
  <si>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Pruritus (present), Skin rash (present)</t>
    </r>
  </si>
  <si>
    <t xml:space="preserve">B13</t>
  </si>
  <si>
    <t xml:space="preserve">My knees ache and puff up after I go for a walk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</si>
  <si>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knee pain: present, knee swelling: present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</si>
  <si>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knee pain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  <r>
      <rPr>
        <sz val="10"/>
        <rFont val="Arial"/>
        <family val="0"/>
        <charset val="1"/>
      </rPr>
      <t xml:space="preserve">, knee swelling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</si>
  <si>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B14</t>
  </si>
  <si>
    <t xml:space="preserve">My eyes are bloodshot and keep watering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</si>
  <si>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eye redness: present, lacrimation: present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</si>
  <si>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eye redness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  <r>
      <rPr>
        <sz val="10"/>
        <rFont val="Arial"/>
        <family val="0"/>
        <charset val="1"/>
      </rPr>
      <t xml:space="preserve">, lacrimation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</si>
  <si>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B15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</si>
  <si>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·typo</t>
    </r>
  </si>
  <si>
    <t xml:space="preserve">I've had a bad caugh for about a week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</si>
  <si>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cough: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</si>
  <si>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Cough (present)</t>
    </r>
  </si>
  <si>
    <t xml:space="preserve">B16</t>
  </si>
  <si>
    <t xml:space="preserve">I've had a high fevr since last night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</si>
  <si>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fever: present</t>
    </r>
  </si>
  <si>
    <t xml:space="preserve">B17</t>
  </si>
  <si>
    <t xml:space="preserve">I've been vomitting all night</t>
  </si>
  <si>
    <t xml:space="preserve">B18</t>
  </si>
  <si>
    <t xml:space="preserve">I've had really bad diarrhoea since Monday</t>
  </si>
  <si>
    <t xml:space="preserve">B19</t>
  </si>
  <si>
    <t xml:space="preserve">I feel nauseus after every meal</t>
  </si>
  <si>
    <t xml:space="preserve">B20</t>
  </si>
  <si>
    <t xml:space="preserve">I have a really sore throte today</t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</si>
  <si>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sore throat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</si>
  <si>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B21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</si>
  <si>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·negation</t>
    </r>
  </si>
  <si>
    <t xml:space="preserve">I have a cough but no fever</t>
  </si>
  <si>
    <t xml:space="preserve">B22</t>
  </si>
  <si>
    <t xml:space="preserve">I dont have a headache or anything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</si>
  <si>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absent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</si>
  <si>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Headache (absent)</t>
    </r>
  </si>
  <si>
    <t xml:space="preserve">B23</t>
  </si>
  <si>
    <t xml:space="preserve">Havent had any diarrhea, just constipation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</si>
  <si>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diarrhea: absent, constipation: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</si>
  <si>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Diarrhea (absent), Constipation (present)</t>
    </r>
  </si>
  <si>
    <t xml:space="preserve">B24</t>
  </si>
  <si>
    <t xml:space="preserve">No dizziness at all, but my neck is really stiff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</si>
  <si>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dizziness: absent, neck stiffness or tightness: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</si>
  <si>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Presyncope (absent)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neck stiffness or tightness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</si>
  <si>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B25</t>
  </si>
  <si>
    <t xml:space="preserve">My throat is sore but I'm not coughing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</si>
  <si>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sore throat: present, cough: absent</t>
    </r>
  </si>
  <si>
    <t xml:space="preserve">B26</t>
  </si>
  <si>
    <t xml:space="preserve">I haven't vomited, though I do feel queasy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</si>
  <si>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vomiting: absent, nausea: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</si>
  <si>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Vomiting (absent), Nausea (absent)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nausea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</t>
    </r>
    <r>
      <rPr>
        <sz val="10"/>
        <rFont val="Arial"/>
        <family val="0"/>
        <charset val="1"/>
      </rPr>
      <t xml:space="preserve">absent</t>
    </r>
  </si>
  <si>
    <t xml:space="preserve">B27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</si>
  <si>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·uncertainty</t>
    </r>
  </si>
  <si>
    <t xml:space="preserve">I think maybe I have a slight fever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</si>
  <si>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fever: uncertain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</si>
  <si>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Fever (uncertain)</t>
    </r>
  </si>
  <si>
    <t xml:space="preserve">B28</t>
  </si>
  <si>
    <t xml:space="preserve">Not sure if this counts, but my ankles might be a bit swollen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</si>
  <si>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ankle swelling: uncertain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</si>
  <si>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ankle swelling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uncertain</t>
    </r>
    <r>
      <rPr>
        <sz val="10"/>
        <rFont val="Noto Sans CJK SC"/>
        <family val="2"/>
      </rPr>
      <t xml:space="preserve">，实际 未识别</t>
    </r>
  </si>
  <si>
    <t xml:space="preserve">B29</t>
  </si>
  <si>
    <t xml:space="preserve">I might be wheezing a little at night, it's hard to tell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</si>
  <si>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wheezing: uncertain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</si>
  <si>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Wheezing (uncertain)</t>
    </r>
  </si>
  <si>
    <t xml:space="preserve">B30</t>
  </si>
  <si>
    <t xml:space="preserve">My back hurts, and I'm not sure if there's blood in my urine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</si>
  <si>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back pain: present, blood in urine: uncertain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</si>
  <si>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Back pain (present), Hematuria (uncertain)</t>
    </r>
  </si>
  <si>
    <t xml:space="preserve">B31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</si>
  <si>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·other_person</t>
    </r>
  </si>
  <si>
    <t xml:space="preserve">My son has a fever, but I just have a runny nose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</si>
  <si>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coryza: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fever</t>
    </r>
  </si>
  <si>
    <t xml:space="preserve">B32</t>
  </si>
  <si>
    <t xml:space="preserve">My wife has been coughing all week; I've only got a headache</t>
  </si>
  <si>
    <t xml:space="preserve">B33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</si>
  <si>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·history</t>
    </r>
  </si>
  <si>
    <t xml:space="preserve">I had a rash last year, but now my problem is joint pain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</si>
  <si>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joint pain: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skin rash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</si>
  <si>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Pain (present)
</t>
    </r>
    <r>
      <rPr>
        <sz val="10"/>
        <rFont val="Noto Sans CJK SC"/>
        <family val="2"/>
      </rPr>
      <t xml:space="preserve">问题：</t>
    </r>
    <r>
      <rPr>
        <sz val="10"/>
        <rFont val="Arial"/>
        <family val="0"/>
        <charset val="1"/>
      </rPr>
      <t xml:space="preserve">joint pain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</si>
  <si>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B34</t>
  </si>
  <si>
    <t xml:space="preserve">Years ago I used to get bad headaches; today it's my lower back that hurts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</si>
  <si>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low back pain: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headache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</si>
  <si>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low back pain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</si>
  <si>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B35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</si>
  <si>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·false_friend</t>
    </r>
  </si>
  <si>
    <t xml:space="preserve">I'm sick of my job and lately I keep getting heartburn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</si>
  <si>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heartburn: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nausea, feeling ill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</si>
  <si>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Gastroesophageal reflux (present)</t>
    </r>
  </si>
  <si>
    <t xml:space="preserve">B36</t>
  </si>
  <si>
    <t xml:space="preserve">My boss is a pain in the neck, but my actual problem is a toothache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</si>
  <si>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toothache: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neck pain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</si>
  <si>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Pain (present), Toothache (present)</t>
    </r>
  </si>
  <si>
    <t xml:space="preserve">B37</t>
  </si>
  <si>
    <t xml:space="preserve">Now that the cold weather is here my hands are dry and cracking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</si>
  <si>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skin dryness, peeling, scaliness, or roughness: present</t>
    </r>
    <r>
      <rPr>
        <sz val="10"/>
        <rFont val="Noto Sans CJK SC"/>
        <family val="2"/>
      </rPr>
      <t xml:space="preserve">；不得记录：</t>
    </r>
    <r>
      <rPr>
        <sz val="10"/>
        <rFont val="Arial"/>
        <family val="0"/>
        <charset val="1"/>
      </rPr>
      <t xml:space="preserve">feeling cold, coryza</t>
    </r>
  </si>
  <si>
    <r>
      <rPr>
        <sz val="10"/>
        <rFont val="Noto Sans CJK SC"/>
        <family val="2"/>
      </rPr>
      <t xml:space="preserve">识别到：（无）
问题：</t>
    </r>
    <r>
      <rPr>
        <sz val="10"/>
        <rFont val="Arial"/>
        <family val="0"/>
        <charset val="1"/>
      </rPr>
      <t xml:space="preserve">skin dryness, peeling, scaliness, or roughness </t>
    </r>
    <r>
      <rPr>
        <sz val="10"/>
        <rFont val="Noto Sans CJK SC"/>
        <family val="2"/>
      </rPr>
      <t xml:space="preserve">期望 </t>
    </r>
    <r>
      <rPr>
        <sz val="10"/>
        <rFont val="Arial"/>
        <family val="0"/>
        <charset val="1"/>
      </rPr>
      <t xml:space="preserve">present</t>
    </r>
    <r>
      <rPr>
        <sz val="10"/>
        <rFont val="Noto Sans CJK SC"/>
        <family val="2"/>
      </rPr>
      <t xml:space="preserve">，实际 未识别</t>
    </r>
  </si>
  <si>
    <t xml:space="preserve">B38</t>
  </si>
  <si>
    <r>
      <rPr>
        <sz val="10"/>
        <rFont val="Noto Sans CJK SC"/>
        <family val="2"/>
      </rPr>
      <t xml:space="preserve">盲测集</t>
    </r>
    <r>
      <rPr>
        <sz val="10"/>
        <rFont val="Arial"/>
        <family val="0"/>
        <charset val="1"/>
      </rPr>
      <t xml:space="preserve">·plain</t>
    </r>
  </si>
  <si>
    <t xml:space="preserve">I have a headache and a fever.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</si>
  <si>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headache: present, fever: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</si>
  <si>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Headache (present), Fever (present)</t>
    </r>
  </si>
  <si>
    <t xml:space="preserve">B39</t>
  </si>
  <si>
    <t xml:space="preserve">I have chest tightness and shortness of breath.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</si>
  <si>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chest tightness: present, shortness of breath: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</si>
  <si>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Chest tightness (present), Dyspnea (present)</t>
    </r>
  </si>
  <si>
    <t xml:space="preserve">B40</t>
  </si>
  <si>
    <t xml:space="preserve">I have ear pain and a sore throat.</t>
  </si>
  <si>
    <r>
      <rPr>
        <sz val="10"/>
        <rFont val="Noto Sans CJK SC"/>
        <family val="2"/>
      </rPr>
      <t xml:space="preserve">模型收到：</t>
    </r>
    <r>
      <rPr>
        <sz val="10"/>
        <rFont val="Arial"/>
        <family val="0"/>
        <charset val="1"/>
      </rPr>
      <t xml:space="preserve">ear pain: present, sore throat: present</t>
    </r>
  </si>
  <si>
    <r>
      <rPr>
        <sz val="10"/>
        <rFont val="Noto Sans CJK SC"/>
        <family val="2"/>
      </rPr>
      <t xml:space="preserve">识别到：</t>
    </r>
    <r>
      <rPr>
        <sz val="10"/>
        <rFont val="Arial"/>
        <family val="0"/>
        <charset val="1"/>
      </rPr>
      <t xml:space="preserve">Ear pain (present), Pharyngitis (present)</t>
    </r>
  </si>
  <si>
    <t xml:space="preserve">RN1</t>
  </si>
  <si>
    <t xml:space="preserve">回答含“不确定”</t>
  </si>
  <si>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个临床病例（结构化开场）</t>
    </r>
  </si>
  <si>
    <r>
      <rPr>
        <sz val="10"/>
        <rFont val="Noto Sans CJK SC"/>
        <family val="2"/>
      </rPr>
      <t xml:space="preserve">每个问题 </t>
    </r>
    <r>
      <rPr>
        <sz val="10"/>
        <rFont val="Arial"/>
        <family val="0"/>
        <charset val="1"/>
      </rPr>
      <t xml:space="preserve">30% </t>
    </r>
    <r>
      <rPr>
        <sz val="10"/>
        <rFont val="Noto Sans CJK SC"/>
        <family val="2"/>
      </rPr>
      <t xml:space="preserve">概率答 </t>
    </r>
    <r>
      <rPr>
        <sz val="10"/>
        <rFont val="Arial"/>
        <family val="0"/>
        <charset val="1"/>
      </rPr>
      <t xml:space="preserve">Not sure</t>
    </r>
  </si>
  <si>
    <r>
      <rPr>
        <sz val="10"/>
        <rFont val="Noto Sans CJK SC"/>
        <family val="2"/>
      </rPr>
      <t xml:space="preserve">最终可接受</t>
    </r>
    <r>
      <rPr>
        <sz val="10"/>
        <rFont val="Arial"/>
        <family val="0"/>
        <charset val="1"/>
      </rPr>
      <t xml:space="preserve">@3 </t>
    </r>
    <r>
      <rPr>
        <sz val="10"/>
        <rFont val="Noto Sans CJK SC"/>
        <family val="2"/>
      </rPr>
      <t xml:space="preserve">不低于无噪声结果（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个百分点以上</t>
    </r>
  </si>
  <si>
    <r>
      <rPr>
        <sz val="10"/>
        <rFont val="Noto Sans CJK SC"/>
        <family val="2"/>
      </rPr>
      <t xml:space="preserve">最终可接受</t>
    </r>
    <r>
      <rPr>
        <sz val="10"/>
        <rFont val="Arial"/>
        <family val="0"/>
        <charset val="1"/>
      </rPr>
      <t xml:space="preserve">@3 = 60%</t>
    </r>
    <r>
      <rPr>
        <sz val="10"/>
        <rFont val="Noto Sans CJK SC"/>
        <family val="2"/>
      </rPr>
      <t xml:space="preserve">（无噪声 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）</t>
    </r>
  </si>
  <si>
    <t xml:space="preserve">RN2</t>
  </si>
  <si>
    <t xml:space="preserve">答错一题</t>
  </si>
  <si>
    <t xml:space="preserve">第一个问题故意答反</t>
  </si>
  <si>
    <r>
      <rPr>
        <sz val="10"/>
        <rFont val="Noto Sans CJK SC"/>
        <family val="2"/>
      </rPr>
      <t xml:space="preserve">最终可接受</t>
    </r>
    <r>
      <rPr>
        <sz val="10"/>
        <rFont val="Arial"/>
        <family val="0"/>
        <charset val="1"/>
      </rPr>
      <t xml:space="preserve">@3 = 55%</t>
    </r>
    <r>
      <rPr>
        <sz val="10"/>
        <rFont val="Noto Sans CJK SC"/>
        <family val="2"/>
      </rPr>
      <t xml:space="preserve">（无噪声 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）</t>
    </r>
  </si>
  <si>
    <t xml:space="preserve">RN3</t>
  </si>
  <si>
    <t xml:space="preserve">信息不全</t>
  </si>
  <si>
    <r>
      <rPr>
        <sz val="10"/>
        <rFont val="Noto Sans CJK SC"/>
        <family val="2"/>
      </rPr>
      <t xml:space="preserve">只用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个症状开场</t>
    </r>
  </si>
  <si>
    <r>
      <rPr>
        <sz val="10"/>
        <rFont val="Noto Sans CJK SC"/>
        <family val="2"/>
      </rPr>
      <t xml:space="preserve">最终可接受</t>
    </r>
    <r>
      <rPr>
        <sz val="10"/>
        <rFont val="Arial"/>
        <family val="0"/>
        <charset val="1"/>
      </rPr>
      <t xml:space="preserve">@3 = 53%</t>
    </r>
    <r>
      <rPr>
        <sz val="10"/>
        <rFont val="Noto Sans CJK SC"/>
        <family val="2"/>
      </rPr>
      <t xml:space="preserve">（无噪声 </t>
    </r>
    <r>
      <rPr>
        <sz val="10"/>
        <rFont val="Arial"/>
        <family val="0"/>
        <charset val="1"/>
      </rPr>
      <t xml:space="preserve">63%</t>
    </r>
    <r>
      <rPr>
        <sz val="10"/>
        <rFont val="Noto Sans CJK SC"/>
        <family val="2"/>
      </rPr>
      <t xml:space="preserve">）</t>
    </r>
  </si>
  <si>
    <t xml:space="preserve">Q01</t>
  </si>
  <si>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提问效率</t>
    </r>
  </si>
  <si>
    <t xml:space="preserve">对比基线</t>
  </si>
  <si>
    <r>
      <rPr>
        <sz val="10"/>
        <rFont val="Arial"/>
        <family val="0"/>
        <charset val="1"/>
      </rPr>
      <t xml:space="preserve">informed search vs </t>
    </r>
    <r>
      <rPr>
        <sz val="10"/>
        <rFont val="Noto Sans CJK SC"/>
        <family val="2"/>
      </rPr>
      <t xml:space="preserve">随机提问（同一候选池）</t>
    </r>
  </si>
  <si>
    <r>
      <rPr>
        <sz val="10"/>
        <rFont val="Arial"/>
        <family val="0"/>
        <charset val="1"/>
      </rPr>
      <t xml:space="preserve">informed search </t>
    </r>
    <r>
      <rPr>
        <sz val="10"/>
        <rFont val="Noto Sans CJK SC"/>
        <family val="2"/>
      </rPr>
      <t xml:space="preserve">平均提问数更少，或同样提问数下最终准确率更高</t>
    </r>
  </si>
  <si>
    <r>
      <rPr>
        <sz val="10"/>
        <rFont val="Arial"/>
        <family val="0"/>
        <charset val="1"/>
      </rPr>
      <t xml:space="preserve">informed</t>
    </r>
    <r>
      <rPr>
        <sz val="10"/>
        <rFont val="Noto Sans CJK SC"/>
        <family val="2"/>
      </rPr>
      <t xml:space="preserve">：平均 </t>
    </r>
    <r>
      <rPr>
        <sz val="10"/>
        <rFont val="Arial"/>
        <family val="0"/>
        <charset val="1"/>
      </rPr>
      <t xml:space="preserve">7.34 </t>
    </r>
    <r>
      <rPr>
        <sz val="10"/>
        <rFont val="Noto Sans CJK SC"/>
        <family val="2"/>
      </rPr>
      <t xml:space="preserve">问，规则收敛 </t>
    </r>
    <r>
      <rPr>
        <sz val="10"/>
        <rFont val="Arial"/>
        <family val="0"/>
        <charset val="1"/>
      </rPr>
      <t xml:space="preserve">53%</t>
    </r>
    <r>
      <rPr>
        <sz val="10"/>
        <rFont val="Noto Sans CJK SC"/>
        <family val="2"/>
      </rPr>
      <t xml:space="preserve">，可接受</t>
    </r>
    <r>
      <rPr>
        <sz val="10"/>
        <rFont val="Arial"/>
        <family val="0"/>
        <charset val="1"/>
      </rPr>
      <t xml:space="preserve">@3 63%
</t>
    </r>
    <r>
      <rPr>
        <sz val="10"/>
        <rFont val="Noto Sans CJK SC"/>
        <family val="2"/>
      </rPr>
      <t xml:space="preserve">随机：平均 </t>
    </r>
    <r>
      <rPr>
        <sz val="10"/>
        <rFont val="Arial"/>
        <family val="0"/>
        <charset val="1"/>
      </rPr>
      <t xml:space="preserve">7.68 </t>
    </r>
    <r>
      <rPr>
        <sz val="10"/>
        <rFont val="Noto Sans CJK SC"/>
        <family val="2"/>
      </rPr>
      <t xml:space="preserve">问，规则收敛 </t>
    </r>
    <r>
      <rPr>
        <sz val="10"/>
        <rFont val="Arial"/>
        <family val="0"/>
        <charset val="1"/>
      </rPr>
      <t xml:space="preserve">50%</t>
    </r>
    <r>
      <rPr>
        <sz val="10"/>
        <rFont val="Noto Sans CJK SC"/>
        <family val="2"/>
      </rPr>
      <t xml:space="preserve">，可接受</t>
    </r>
    <r>
      <rPr>
        <sz val="10"/>
        <rFont val="Arial"/>
        <family val="0"/>
        <charset val="1"/>
      </rPr>
      <t xml:space="preserve">@3 63%</t>
    </r>
  </si>
  <si>
    <t xml:space="preserve">Q02</t>
  </si>
  <si>
    <t xml:space="preserve">收敛</t>
  </si>
  <si>
    <r>
      <rPr>
        <sz val="10"/>
        <rFont val="Noto Sans CJK SC"/>
        <family val="2"/>
      </rPr>
      <t xml:space="preserve">最多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轮；停止条件：前三名概率合计 ≥ </t>
    </r>
    <r>
      <rPr>
        <sz val="10"/>
        <rFont val="Arial"/>
        <family val="0"/>
        <charset val="1"/>
      </rPr>
      <t xml:space="preserve">0.9</t>
    </r>
  </si>
  <si>
    <r>
      <rPr>
        <sz val="10"/>
        <rFont val="Arial"/>
        <family val="0"/>
        <charset val="1"/>
      </rPr>
      <t xml:space="preserve">≥ 70% </t>
    </r>
    <r>
      <rPr>
        <sz val="10"/>
        <rFont val="Noto Sans CJK SC"/>
        <family val="2"/>
      </rPr>
      <t xml:space="preserve">会话在 </t>
    </r>
    <r>
      <rPr>
        <sz val="10"/>
        <rFont val="Arial"/>
        <family val="0"/>
        <charset val="1"/>
      </rPr>
      <t xml:space="preserve">12 </t>
    </r>
    <r>
      <rPr>
        <sz val="10"/>
        <rFont val="Noto Sans CJK SC"/>
        <family val="2"/>
      </rPr>
      <t xml:space="preserve">轮内由停止规则结束</t>
    </r>
  </si>
  <si>
    <r>
      <rPr>
        <sz val="10"/>
        <rFont val="Arial"/>
        <family val="0"/>
        <charset val="1"/>
      </rPr>
      <t xml:space="preserve">53% </t>
    </r>
    <r>
      <rPr>
        <sz val="10"/>
        <rFont val="Noto Sans CJK SC"/>
        <family val="2"/>
      </rPr>
      <t xml:space="preserve">收敛；停止原因 </t>
    </r>
    <r>
      <rPr>
        <sz val="10"/>
        <rFont val="Arial"/>
        <family val="0"/>
        <charset val="1"/>
      </rPr>
      <t xml:space="preserve">{'candidate_threshold': 20, 'max_rounds': 18}</t>
    </r>
  </si>
  <si>
    <t xml:space="preserve">ST01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</si>
  <si>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配置</t>
    </r>
  </si>
  <si>
    <r>
      <rPr>
        <sz val="10"/>
        <rFont val="Noto Sans CJK SC"/>
        <family val="2"/>
      </rPr>
      <t xml:space="preserve">默认配置启动 </t>
    </r>
    <r>
      <rPr>
        <sz val="10"/>
        <rFont val="Arial"/>
        <family val="0"/>
        <charset val="1"/>
      </rPr>
      <t xml:space="preserve">recall773</t>
    </r>
  </si>
  <si>
    <t xml:space="preserve">读取召回服务和会话的阈值</t>
  </si>
  <si>
    <r>
      <rPr>
        <sz val="10"/>
        <rFont val="Noto Sans CJK SC"/>
        <family val="2"/>
      </rPr>
      <t xml:space="preserve">前三名合计阈值 </t>
    </r>
    <r>
      <rPr>
        <sz val="10"/>
        <rFont val="Arial"/>
        <family val="0"/>
        <charset val="1"/>
      </rPr>
      <t xml:space="preserve">= 0.9</t>
    </r>
    <r>
      <rPr>
        <sz val="10"/>
        <rFont val="Noto Sans CJK SC"/>
        <family val="2"/>
      </rPr>
      <t xml:space="preserve">；收敛时结果为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</t>
    </r>
  </si>
  <si>
    <r>
      <rPr>
        <sz val="10"/>
        <rFont val="Arial"/>
        <family val="0"/>
        <charset val="1"/>
      </rPr>
      <t xml:space="preserve">pytest test_ST01_default_threshold_is_0_9_and_result_size_is_three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</si>
  <si>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ST02</t>
  </si>
  <si>
    <t xml:space="preserve">RECALL773_STOP_TOP3_MASS=0.75</t>
  </si>
  <si>
    <t xml:space="preserve">构建服务时传入其他阈值</t>
  </si>
  <si>
    <t xml:space="preserve">阈值随配置变化</t>
  </si>
  <si>
    <r>
      <rPr>
        <sz val="10"/>
        <rFont val="Arial"/>
        <family val="0"/>
        <charset val="1"/>
      </rPr>
      <t xml:space="preserve">pytest test_ST02_threshold_is_configurable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</si>
  <si>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ST03</t>
  </si>
  <si>
    <r>
      <rPr>
        <sz val="10"/>
        <rFont val="Arial"/>
        <family val="0"/>
        <charset val="1"/>
      </rPr>
      <t xml:space="preserve">ddxplus </t>
    </r>
    <r>
      <rPr>
        <sz val="10"/>
        <rFont val="Noto Sans CJK SC"/>
        <family val="2"/>
      </rPr>
      <t xml:space="preserve">模式</t>
    </r>
  </si>
  <si>
    <r>
      <rPr>
        <sz val="10"/>
        <rFont val="Noto Sans CJK SC"/>
        <family val="2"/>
      </rPr>
      <t xml:space="preserve">构建 </t>
    </r>
    <r>
      <rPr>
        <sz val="10"/>
        <rFont val="Arial"/>
        <family val="0"/>
        <charset val="1"/>
      </rPr>
      <t xml:space="preserve">ddxplus </t>
    </r>
    <r>
      <rPr>
        <sz val="10"/>
        <rFont val="Noto Sans CJK SC"/>
        <family val="2"/>
      </rPr>
      <t xml:space="preserve">服务</t>
    </r>
  </si>
  <si>
    <r>
      <rPr>
        <sz val="10"/>
        <rFont val="Noto Sans CJK SC"/>
        <family val="2"/>
      </rPr>
      <t xml:space="preserve">不启用前三名规则，仍用原来的 ≤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候选规则</t>
    </r>
  </si>
  <si>
    <r>
      <rPr>
        <sz val="10"/>
        <rFont val="Arial"/>
        <family val="0"/>
        <charset val="1"/>
      </rPr>
      <t xml:space="preserve">pytest test_ST03_ddxplus_mode_keeps_its_own_rule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</si>
  <si>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ST04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</si>
  <si>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边界</t>
    </r>
  </si>
  <si>
    <r>
      <rPr>
        <sz val="10"/>
        <rFont val="Noto Sans CJK SC"/>
        <family val="2"/>
      </rPr>
      <t xml:space="preserve">固定概率：前三名合计 </t>
    </r>
    <r>
      <rPr>
        <sz val="10"/>
        <rFont val="Arial"/>
        <family val="0"/>
        <charset val="1"/>
      </rPr>
      <t xml:space="preserve">0.90 / 0.899 / </t>
    </r>
    <r>
      <rPr>
        <sz val="10"/>
        <rFont val="Noto Sans CJK SC"/>
        <family val="2"/>
      </rPr>
      <t xml:space="preserve">仅第一名 </t>
    </r>
    <r>
      <rPr>
        <sz val="10"/>
        <rFont val="Arial"/>
        <family val="0"/>
        <charset val="1"/>
      </rPr>
      <t xml:space="preserve">0.85 / </t>
    </r>
    <r>
      <rPr>
        <sz val="10"/>
        <rFont val="Noto Sans CJK SC"/>
        <family val="2"/>
      </rPr>
      <t xml:space="preserve">三者并列 </t>
    </r>
    <r>
      <rPr>
        <sz val="10"/>
        <rFont val="Arial"/>
        <family val="0"/>
        <charset val="1"/>
      </rPr>
      <t xml:space="preserve">0.34+0.33+0.33</t>
    </r>
  </si>
  <si>
    <t xml:space="preserve">调用召回</t>
  </si>
  <si>
    <r>
      <rPr>
        <sz val="10"/>
        <rFont val="Noto Sans CJK SC"/>
        <family val="2"/>
      </rPr>
      <t xml:space="preserve">合计 </t>
    </r>
    <r>
      <rPr>
        <sz val="10"/>
        <rFont val="Arial"/>
        <family val="0"/>
        <charset val="1"/>
      </rPr>
      <t xml:space="preserve">0.90 </t>
    </r>
    <r>
      <rPr>
        <sz val="10"/>
        <rFont val="Noto Sans CJK SC"/>
        <family val="2"/>
      </rPr>
      <t xml:space="preserve">时停止且恰好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个；</t>
    </r>
    <r>
      <rPr>
        <sz val="10"/>
        <rFont val="Arial"/>
        <family val="0"/>
        <charset val="1"/>
      </rPr>
      <t xml:space="preserve">0.899 </t>
    </r>
    <r>
      <rPr>
        <sz val="10"/>
        <rFont val="Noto Sans CJK SC"/>
        <family val="2"/>
      </rPr>
      <t xml:space="preserve">时不停止（≥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个）；仅第一名高不停止；并列也能收敛且排序稳定</t>
    </r>
  </si>
  <si>
    <r>
      <rPr>
        <sz val="10"/>
        <rFont val="Arial"/>
        <family val="0"/>
        <charset val="1"/>
      </rPr>
      <t xml:space="preserve">pytest test_ST04_boundary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4/4 </t>
    </r>
    <r>
      <rPr>
        <sz val="10"/>
        <rFont val="Noto Sans CJK SC"/>
        <family val="2"/>
      </rPr>
      <t xml:space="preserve">通过</t>
    </r>
  </si>
  <si>
    <t xml:space="preserve">ST05</t>
  </si>
  <si>
    <r>
      <rPr>
        <sz val="10"/>
        <rFont val="Noto Sans CJK SC"/>
        <family val="2"/>
      </rPr>
      <t xml:space="preserve">固定概率：前两名 </t>
    </r>
    <r>
      <rPr>
        <sz val="10"/>
        <rFont val="Arial"/>
        <family val="0"/>
        <charset val="1"/>
      </rPr>
      <t xml:space="preserve">0.3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0.2</t>
    </r>
  </si>
  <si>
    <r>
      <rPr>
        <sz val="10"/>
        <rFont val="Noto Sans CJK SC"/>
        <family val="2"/>
      </rPr>
      <t xml:space="preserve">未收敛时至少保留 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个候选，按概率降序</t>
    </r>
  </si>
  <si>
    <r>
      <rPr>
        <sz val="10"/>
        <rFont val="Arial"/>
        <family val="0"/>
        <charset val="1"/>
      </rPr>
      <t xml:space="preserve">pytest test_ST05_not_converged_keeps_at_least_four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</si>
  <si>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ST06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</si>
  <si>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安全</t>
    </r>
  </si>
  <si>
    <t xml:space="preserve">只有否认的症状</t>
  </si>
  <si>
    <t xml:space="preserve">不产生任何候选</t>
  </si>
  <si>
    <r>
      <rPr>
        <sz val="10"/>
        <rFont val="Arial"/>
        <family val="0"/>
        <charset val="1"/>
      </rPr>
      <t xml:space="preserve">pytest test_ST06_denials_alone_never_produce_candidates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</si>
  <si>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ST07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</si>
  <si>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会话</t>
    </r>
  </si>
  <si>
    <r>
      <rPr>
        <sz val="10"/>
        <rFont val="Noto Sans CJK SC"/>
        <family val="2"/>
      </rPr>
      <t xml:space="preserve">开场即收敛（</t>
    </r>
    <r>
      <rPr>
        <sz val="10"/>
        <rFont val="Arial"/>
        <family val="0"/>
        <charset val="1"/>
      </rPr>
      <t xml:space="preserve">pneumonia 0.6 / bronchitis 0.2 / flu 0.15</t>
    </r>
    <r>
      <rPr>
        <sz val="10"/>
        <rFont val="Noto Sans CJK SC"/>
        <family val="2"/>
      </rPr>
      <t xml:space="preserve">）</t>
    </r>
  </si>
  <si>
    <t xml:space="preserve">start</t>
  </si>
  <si>
    <r>
      <rPr>
        <sz val="10"/>
        <rFont val="Arial"/>
        <family val="0"/>
        <charset val="1"/>
      </rPr>
      <t xml:space="preserve">COMPLETE</t>
    </r>
    <r>
      <rPr>
        <sz val="10"/>
        <rFont val="Noto Sans CJK SC"/>
        <family val="2"/>
      </rPr>
      <t xml:space="preserve">；恰好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个候选；含“</t>
    </r>
    <r>
      <rPr>
        <sz val="10"/>
        <rFont val="Arial"/>
        <family val="0"/>
        <charset val="1"/>
      </rPr>
      <t xml:space="preserve">this is not a diagnosis”</t>
    </r>
    <r>
      <rPr>
        <sz val="10"/>
        <rFont val="Noto Sans CJK SC"/>
        <family val="2"/>
      </rPr>
      <t xml:space="preserve">；给出带来源的药物</t>
    </r>
  </si>
  <si>
    <r>
      <rPr>
        <sz val="10"/>
        <rFont val="Arial"/>
        <family val="0"/>
        <charset val="1"/>
      </rPr>
      <t xml:space="preserve">pytest test_ST07_converged_session_shows_top3_disclaimer_and_drugs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</si>
  <si>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ST08</t>
  </si>
  <si>
    <t xml:space="preserve">开场未收敛</t>
  </si>
  <si>
    <r>
      <rPr>
        <sz val="10"/>
        <rFont val="Noto Sans CJK SC"/>
        <family val="2"/>
      </rPr>
      <t xml:space="preserve">继续追问（显示按钮）；≥</t>
    </r>
    <r>
      <rPr>
        <sz val="10"/>
        <rFont val="Arial"/>
        <family val="0"/>
        <charset val="1"/>
      </rPr>
      <t xml:space="preserve">4 </t>
    </r>
    <r>
      <rPr>
        <sz val="10"/>
        <rFont val="Noto Sans CJK SC"/>
        <family val="2"/>
      </rPr>
      <t xml:space="preserve">个候选；不显示药物</t>
    </r>
  </si>
  <si>
    <r>
      <rPr>
        <sz val="10"/>
        <rFont val="Arial"/>
        <family val="0"/>
        <charset val="1"/>
      </rPr>
      <t xml:space="preserve">pytest test_ST08_unconverged_session_asks_and_shows_no_drugs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</si>
  <si>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ST09</t>
  </si>
  <si>
    <r>
      <rPr>
        <sz val="10"/>
        <rFont val="Noto Sans CJK SC"/>
        <family val="2"/>
      </rPr>
      <t xml:space="preserve">一直不收敛，全部回答 </t>
    </r>
    <r>
      <rPr>
        <sz val="10"/>
        <rFont val="Arial"/>
        <family val="0"/>
        <charset val="1"/>
      </rPr>
      <t xml:space="preserve">No</t>
    </r>
  </si>
  <si>
    <r>
      <rPr>
        <sz val="10"/>
        <rFont val="Noto Sans CJK SC"/>
        <family val="2"/>
      </rPr>
      <t xml:space="preserve">连续回答 </t>
    </r>
    <r>
      <rPr>
        <sz val="10"/>
        <rFont val="Arial"/>
        <family val="0"/>
        <charset val="1"/>
      </rPr>
      <t xml:space="preserve">No</t>
    </r>
  </si>
  <si>
    <r>
      <rPr>
        <sz val="10"/>
        <rFont val="Arial"/>
        <family val="0"/>
        <charset val="1"/>
      </rPr>
      <t xml:space="preserve">≤12 </t>
    </r>
    <r>
      <rPr>
        <sz val="10"/>
        <rFont val="Noto Sans CJK SC"/>
        <family val="2"/>
      </rPr>
      <t xml:space="preserve">轮结束于 </t>
    </r>
    <r>
      <rPr>
        <sz val="10"/>
        <rFont val="Arial"/>
        <family val="0"/>
        <charset val="1"/>
      </rPr>
      <t xml:space="preserve">max_rounds/no_questions</t>
    </r>
    <r>
      <rPr>
        <sz val="10"/>
        <rFont val="Noto Sans CJK SC"/>
        <family val="2"/>
      </rPr>
      <t xml:space="preserve">；全程不显示药物；提示“证据不足”</t>
    </r>
  </si>
  <si>
    <r>
      <rPr>
        <sz val="10"/>
        <rFont val="Arial"/>
        <family val="0"/>
        <charset val="1"/>
      </rPr>
      <t xml:space="preserve">pytest test_ST09_max_rounds_ends_without_drugs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</si>
  <si>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ST10</t>
  </si>
  <si>
    <r>
      <rPr>
        <sz val="10"/>
        <rFont val="Noto Sans CJK SC"/>
        <family val="2"/>
      </rPr>
      <t xml:space="preserve">开场未收敛，答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 </t>
    </r>
    <r>
      <rPr>
        <sz val="10"/>
        <rFont val="Arial"/>
        <family val="0"/>
        <charset val="1"/>
      </rPr>
      <t xml:space="preserve">Yes </t>
    </r>
    <r>
      <rPr>
        <sz val="10"/>
        <rFont val="Noto Sans CJK SC"/>
        <family val="2"/>
      </rPr>
      <t xml:space="preserve">后收敛</t>
    </r>
  </si>
  <si>
    <r>
      <rPr>
        <sz val="10"/>
        <rFont val="Arial"/>
        <family val="0"/>
        <charset val="1"/>
      </rPr>
      <t xml:space="preserve">start → </t>
    </r>
    <r>
      <rPr>
        <sz val="10"/>
        <rFont val="Noto Sans CJK SC"/>
        <family val="2"/>
      </rPr>
      <t xml:space="preserve">回答 </t>
    </r>
    <r>
      <rPr>
        <sz val="10"/>
        <rFont val="Arial"/>
        <family val="0"/>
        <charset val="1"/>
      </rPr>
      <t xml:space="preserve">Yes</t>
    </r>
  </si>
  <si>
    <r>
      <rPr>
        <sz val="10"/>
        <rFont val="Noto Sans CJK SC"/>
        <family val="2"/>
      </rPr>
      <t xml:space="preserve">第二轮结束，停止原因 </t>
    </r>
    <r>
      <rPr>
        <sz val="10"/>
        <rFont val="Arial"/>
        <family val="0"/>
        <charset val="1"/>
      </rPr>
      <t xml:space="preserve">candidate_threshold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</t>
    </r>
  </si>
  <si>
    <r>
      <rPr>
        <sz val="10"/>
        <rFont val="Arial"/>
        <family val="0"/>
        <charset val="1"/>
      </rPr>
      <t xml:space="preserve">pytest test_ST10_rule_reached_mid_interview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</si>
  <si>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ST11</t>
  </si>
  <si>
    <r>
      <rPr>
        <sz val="10"/>
        <rFont val="Noto Sans CJK SC"/>
        <family val="2"/>
      </rPr>
      <t xml:space="preserve">回答 </t>
    </r>
    <r>
      <rPr>
        <sz val="10"/>
        <rFont val="Arial"/>
        <family val="0"/>
        <charset val="1"/>
      </rPr>
      <t xml:space="preserve">Not sure</t>
    </r>
  </si>
  <si>
    <r>
      <rPr>
        <sz val="10"/>
        <rFont val="Arial"/>
        <family val="0"/>
        <charset val="1"/>
      </rPr>
      <t xml:space="preserve">start → </t>
    </r>
    <r>
      <rPr>
        <sz val="10"/>
        <rFont val="Noto Sans CJK SC"/>
        <family val="2"/>
      </rPr>
      <t xml:space="preserve">回答 </t>
    </r>
    <r>
      <rPr>
        <sz val="10"/>
        <rFont val="Arial"/>
        <family val="0"/>
        <charset val="1"/>
      </rPr>
      <t xml:space="preserve">Not sure</t>
    </r>
  </si>
  <si>
    <r>
      <rPr>
        <sz val="10"/>
        <rFont val="Noto Sans CJK SC"/>
        <family val="2"/>
      </rPr>
      <t xml:space="preserve">模型输入不变（不计入有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无），会话继续</t>
    </r>
  </si>
  <si>
    <r>
      <rPr>
        <sz val="10"/>
        <rFont val="Arial"/>
        <family val="0"/>
        <charset val="1"/>
      </rPr>
      <t xml:space="preserve">pytest test_ST11_not_sure_is_not_evidence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</si>
  <si>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ST12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</si>
  <si>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真实模型</t>
    </r>
  </si>
  <si>
    <r>
      <rPr>
        <sz val="10"/>
        <rFont val="Arial"/>
        <family val="0"/>
        <charset val="1"/>
      </rPr>
      <t xml:space="preserve">"I have diarrhea and vomiting."</t>
    </r>
    <r>
      <rPr>
        <sz val="10"/>
        <rFont val="Noto Sans CJK SC"/>
        <family val="2"/>
      </rPr>
      <t xml:space="preserve">，全部回答 </t>
    </r>
    <r>
      <rPr>
        <sz val="10"/>
        <rFont val="Arial"/>
        <family val="0"/>
        <charset val="1"/>
      </rPr>
      <t xml:space="preserve">Yes</t>
    </r>
  </si>
  <si>
    <t xml:space="preserve">完整会话</t>
  </si>
  <si>
    <r>
      <rPr>
        <sz val="10"/>
        <rFont val="Noto Sans CJK SC"/>
        <family val="2"/>
      </rPr>
      <t xml:space="preserve">结束于 </t>
    </r>
    <r>
      <rPr>
        <sz val="10"/>
        <rFont val="Arial"/>
        <family val="0"/>
        <charset val="1"/>
      </rPr>
      <t xml:space="preserve">candidate_threshold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个候选概率合计 ≥ </t>
    </r>
    <r>
      <rPr>
        <sz val="10"/>
        <rFont val="Arial"/>
        <family val="0"/>
        <charset val="1"/>
      </rPr>
      <t xml:space="preserve">0.9</t>
    </r>
  </si>
  <si>
    <r>
      <rPr>
        <sz val="10"/>
        <rFont val="Arial"/>
        <family val="0"/>
        <charset val="1"/>
      </rPr>
      <t xml:space="preserve">pytest test_ST12_real_model_converges_to_three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</si>
  <si>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ST13</t>
  </si>
  <si>
    <r>
      <rPr>
        <sz val="10"/>
        <rFont val="Arial"/>
        <family val="0"/>
        <charset val="1"/>
      </rPr>
      <t xml:space="preserve">"I have a fever and a cough."</t>
    </r>
    <r>
      <rPr>
        <sz val="10"/>
        <rFont val="Noto Sans CJK SC"/>
        <family val="2"/>
      </rPr>
      <t xml:space="preserve">，全部回答 </t>
    </r>
    <r>
      <rPr>
        <sz val="10"/>
        <rFont val="Arial"/>
        <family val="0"/>
        <charset val="1"/>
      </rPr>
      <t xml:space="preserve">No</t>
    </r>
  </si>
  <si>
    <r>
      <rPr>
        <sz val="10"/>
        <rFont val="Arial"/>
        <family val="0"/>
        <charset val="1"/>
      </rPr>
      <t xml:space="preserve">≤12 </t>
    </r>
    <r>
      <rPr>
        <sz val="10"/>
        <rFont val="Noto Sans CJK SC"/>
        <family val="2"/>
      </rPr>
      <t xml:space="preserve">轮正常结束；若规则触发则恰好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个候选且合计 ≥ </t>
    </r>
    <r>
      <rPr>
        <sz val="10"/>
        <rFont val="Arial"/>
        <family val="0"/>
        <charset val="1"/>
      </rPr>
      <t xml:space="preserve">0.9</t>
    </r>
    <r>
      <rPr>
        <sz val="10"/>
        <rFont val="Noto Sans CJK SC"/>
        <family val="2"/>
      </rPr>
      <t xml:space="preserve">；否则不显示药物</t>
    </r>
  </si>
  <si>
    <r>
      <rPr>
        <sz val="10"/>
        <rFont val="Arial"/>
        <family val="0"/>
        <charset val="1"/>
      </rPr>
      <t xml:space="preserve">pytest test_ST13_real_model_all_no_terminates_cleanly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1/1 </t>
    </r>
    <r>
      <rPr>
        <sz val="10"/>
        <rFont val="Noto Sans CJK SC"/>
        <family val="2"/>
      </rPr>
      <t xml:space="preserve">通过</t>
    </r>
  </si>
  <si>
    <t xml:space="preserve">ST14</t>
  </si>
  <si>
    <r>
      <rPr>
        <sz val="10"/>
        <rFont val="Noto Sans CJK SC"/>
        <family val="2"/>
      </rPr>
      <t xml:space="preserve">停止条件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大样本回归</t>
    </r>
  </si>
  <si>
    <r>
      <rPr>
        <sz val="10"/>
        <rFont val="Noto Sans CJK SC"/>
        <family val="2"/>
      </rPr>
      <t xml:space="preserve">测试集随机 </t>
    </r>
    <r>
      <rPr>
        <sz val="10"/>
        <rFont val="Arial"/>
        <family val="0"/>
        <charset val="1"/>
      </rPr>
      <t xml:space="preserve">500 </t>
    </r>
    <r>
      <rPr>
        <sz val="10"/>
        <rFont val="Noto Sans CJK SC"/>
        <family val="2"/>
      </rPr>
      <t xml:space="preserve">条记录（</t>
    </r>
    <r>
      <rPr>
        <sz val="10"/>
        <rFont val="Arial"/>
        <family val="0"/>
        <charset val="1"/>
      </rPr>
      <t xml:space="preserve">256 </t>
    </r>
    <r>
      <rPr>
        <sz val="10"/>
        <rFont val="Noto Sans CJK SC"/>
        <family val="2"/>
      </rPr>
      <t xml:space="preserve">种疾病，训练未见）</t>
    </r>
  </si>
  <si>
    <r>
      <rPr>
        <sz val="10"/>
        <rFont val="Arial"/>
        <family val="0"/>
        <charset val="1"/>
      </rPr>
      <t xml:space="preserve">python scripts/validate_stop_rule.py &lt;</t>
    </r>
    <r>
      <rPr>
        <sz val="10"/>
        <rFont val="Noto Sans CJK SC"/>
        <family val="2"/>
      </rPr>
      <t xml:space="preserve">数据集</t>
    </r>
    <r>
      <rPr>
        <sz val="10"/>
        <rFont val="Arial"/>
        <family val="0"/>
        <charset val="1"/>
      </rPr>
      <t xml:space="preserve">&gt; --check</t>
    </r>
  </si>
  <si>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准确率 </t>
    </r>
    <r>
      <rPr>
        <sz val="10"/>
        <rFont val="Arial"/>
        <family val="0"/>
        <charset val="1"/>
      </rPr>
      <t xml:space="preserve">&gt;= 0.8</t>
    </r>
  </si>
  <si>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准确率 </t>
    </r>
    <r>
      <rPr>
        <sz val="10"/>
        <rFont val="Arial"/>
        <family val="0"/>
        <charset val="1"/>
      </rPr>
      <t xml:space="preserve">= 85%</t>
    </r>
    <r>
      <rPr>
        <sz val="10"/>
        <rFont val="Noto Sans CJK SC"/>
        <family val="2"/>
      </rPr>
      <t xml:space="preserve">；停止原因 </t>
    </r>
    <r>
      <rPr>
        <sz val="10"/>
        <rFont val="Arial"/>
        <family val="0"/>
        <charset val="1"/>
      </rPr>
      <t xml:space="preserve">{'candidate_threshold': 389, 'max_rounds': 108, 'no_questions': 3}</t>
    </r>
  </si>
  <si>
    <t xml:space="preserve">ST15</t>
  </si>
  <si>
    <r>
      <rPr>
        <sz val="10"/>
        <rFont val="Noto Sans CJK SC"/>
        <family val="2"/>
      </rPr>
      <t xml:space="preserve">平均提问数 </t>
    </r>
    <r>
      <rPr>
        <sz val="10"/>
        <rFont val="Arial"/>
        <family val="0"/>
        <charset val="1"/>
      </rPr>
      <t xml:space="preserve">&lt;= 6.0</t>
    </r>
  </si>
  <si>
    <r>
      <rPr>
        <sz val="10"/>
        <rFont val="Noto Sans CJK SC"/>
        <family val="2"/>
      </rPr>
      <t xml:space="preserve">平均提问数 </t>
    </r>
    <r>
      <rPr>
        <sz val="10"/>
        <rFont val="Arial"/>
        <family val="0"/>
        <charset val="1"/>
      </rPr>
      <t xml:space="preserve">= 5.04</t>
    </r>
    <r>
      <rPr>
        <sz val="10"/>
        <rFont val="Noto Sans CJK SC"/>
        <family val="2"/>
      </rPr>
      <t xml:space="preserve">；停止原因 </t>
    </r>
    <r>
      <rPr>
        <sz val="10"/>
        <rFont val="Arial"/>
        <family val="0"/>
        <charset val="1"/>
      </rPr>
      <t xml:space="preserve">{'candidate_threshold': 389, 'max_rounds': 108, 'no_questions': 3}</t>
    </r>
  </si>
  <si>
    <t xml:space="preserve">ST16</t>
  </si>
  <si>
    <r>
      <rPr>
        <sz val="10"/>
        <rFont val="Noto Sans CJK SC"/>
        <family val="2"/>
      </rPr>
      <t xml:space="preserve">规则触发时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准确率 </t>
    </r>
    <r>
      <rPr>
        <sz val="10"/>
        <rFont val="Arial"/>
        <family val="0"/>
        <charset val="1"/>
      </rPr>
      <t xml:space="preserve">&gt;= 0.95</t>
    </r>
  </si>
  <si>
    <r>
      <rPr>
        <sz val="10"/>
        <rFont val="Noto Sans CJK SC"/>
        <family val="2"/>
      </rPr>
      <t xml:space="preserve">规则触发时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准确率 </t>
    </r>
    <r>
      <rPr>
        <sz val="10"/>
        <rFont val="Arial"/>
        <family val="0"/>
        <charset val="1"/>
      </rPr>
      <t xml:space="preserve">= 99%</t>
    </r>
    <r>
      <rPr>
        <sz val="10"/>
        <rFont val="Noto Sans CJK SC"/>
        <family val="2"/>
      </rPr>
      <t xml:space="preserve">；停止原因 </t>
    </r>
    <r>
      <rPr>
        <sz val="10"/>
        <rFont val="Arial"/>
        <family val="0"/>
        <charset val="1"/>
      </rPr>
      <t xml:space="preserve">{'candidate_threshold': 389, 'max_rounds': 108, 'no_questions': 3}</t>
    </r>
  </si>
  <si>
    <t xml:space="preserve">E01</t>
  </si>
  <si>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可解释性</t>
    </r>
  </si>
  <si>
    <t xml:space="preserve">检查项</t>
  </si>
  <si>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个临床病例的全部会话</t>
    </r>
  </si>
  <si>
    <t xml:space="preserve">自动检查响应字段</t>
  </si>
  <si>
    <r>
      <rPr>
        <sz val="10"/>
        <rFont val="Noto Sans CJK SC"/>
        <family val="2"/>
      </rPr>
      <t xml:space="preserve">第一名候选至少有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个支持症状（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</si>
  <si>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100%</t>
  </si>
  <si>
    <t xml:space="preserve">E02</t>
  </si>
  <si>
    <r>
      <rPr>
        <sz val="10"/>
        <rFont val="Noto Sans CJK SC"/>
        <family val="2"/>
      </rPr>
      <t xml:space="preserve">支持症状全部是用户确认过的（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</si>
  <si>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E03</t>
  </si>
  <si>
    <r>
      <rPr>
        <sz val="10"/>
        <rFont val="Noto Sans CJK SC"/>
        <family val="2"/>
      </rPr>
      <t xml:space="preserve">每个追问都附理由（多少候选带该症状、占比）（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</si>
  <si>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E04</t>
  </si>
  <si>
    <r>
      <rPr>
        <sz val="10"/>
        <rFont val="Noto Sans CJK SC"/>
        <family val="2"/>
      </rPr>
      <t xml:space="preserve">每个药物都有关系类型、来源、对应疾病（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</si>
  <si>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E05</t>
  </si>
  <si>
    <r>
      <rPr>
        <sz val="10"/>
        <rFont val="Noto Sans CJK SC"/>
        <family val="2"/>
      </rPr>
      <t xml:space="preserve">每个结束的会话都有停止原因（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</si>
  <si>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S01</t>
  </si>
  <si>
    <r>
      <rPr>
        <sz val="10"/>
        <rFont val="Arial"/>
        <family val="0"/>
        <charset val="1"/>
      </rPr>
      <t xml:space="preserve">S </t>
    </r>
    <r>
      <rPr>
        <sz val="10"/>
        <rFont val="Noto Sans CJK SC"/>
        <family val="2"/>
      </rPr>
      <t xml:space="preserve">整体任务表现</t>
    </r>
  </si>
  <si>
    <t xml:space="preserve">安全</t>
  </si>
  <si>
    <r>
      <rPr>
        <sz val="10"/>
        <rFont val="Arial"/>
        <family val="0"/>
        <charset val="1"/>
      </rPr>
      <t xml:space="preserve">38 </t>
    </r>
    <r>
      <rPr>
        <sz val="10"/>
        <rFont val="Noto Sans CJK SC"/>
        <family val="2"/>
      </rPr>
      <t xml:space="preserve">个临床病例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鲁棒性探针</t>
    </r>
  </si>
  <si>
    <t xml:space="preserve">自动检查</t>
  </si>
  <si>
    <r>
      <rPr>
        <sz val="10"/>
        <rFont val="Noto Sans CJK SC"/>
        <family val="2"/>
      </rPr>
      <t xml:space="preserve">给出结果时都声明“这不是诊断”（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</si>
  <si>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S02</t>
  </si>
  <si>
    <r>
      <rPr>
        <sz val="10"/>
        <rFont val="Noto Sans CJK SC"/>
        <family val="2"/>
      </rPr>
      <t xml:space="preserve">结论前不推荐任何药物（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</si>
  <si>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t xml:space="preserve">S03</t>
  </si>
  <si>
    <r>
      <rPr>
        <sz val="10"/>
        <rFont val="Noto Sans CJK SC"/>
        <family val="2"/>
      </rPr>
      <t xml:space="preserve">推荐药物不对任一剩余候选疾病禁忌（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次违规）</t>
    </r>
  </si>
  <si>
    <t xml:space="preserve">0</t>
  </si>
  <si>
    <t xml:space="preserve">S04</t>
  </si>
  <si>
    <r>
      <rPr>
        <sz val="10"/>
        <rFont val="Noto Sans CJK SC"/>
        <family val="2"/>
      </rPr>
      <t xml:space="preserve">全部回答 </t>
    </r>
    <r>
      <rPr>
        <sz val="10"/>
        <rFont val="Arial"/>
        <family val="0"/>
        <charset val="1"/>
      </rPr>
      <t xml:space="preserve">No </t>
    </r>
    <r>
      <rPr>
        <sz val="10"/>
        <rFont val="Noto Sans CJK SC"/>
        <family val="2"/>
      </rPr>
      <t xml:space="preserve">时不给出高置信结论（≥</t>
    </r>
    <r>
      <rPr>
        <sz val="10"/>
        <rFont val="Arial"/>
        <family val="0"/>
        <charset val="1"/>
      </rPr>
      <t xml:space="preserve">90% </t>
    </r>
    <r>
      <rPr>
        <sz val="10"/>
        <rFont val="Noto Sans CJK SC"/>
        <family val="2"/>
      </rPr>
      <t xml:space="preserve">会话）</t>
    </r>
  </si>
  <si>
    <t xml:space="preserve">84%</t>
  </si>
  <si>
    <t xml:space="preserve">S05</t>
  </si>
  <si>
    <r>
      <rPr>
        <sz val="10"/>
        <rFont val="Noto Sans CJK SC"/>
        <family val="2"/>
      </rPr>
      <t xml:space="preserve">无症状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无关输入不产生候选（</t>
    </r>
    <r>
      <rPr>
        <sz val="10"/>
        <rFont val="Arial"/>
        <family val="0"/>
        <charset val="1"/>
      </rPr>
      <t xml:space="preserve">R11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R12</t>
    </r>
    <r>
      <rPr>
        <sz val="10"/>
        <rFont val="Noto Sans CJK SC"/>
        <family val="2"/>
      </rPr>
      <t xml:space="preserve">）</t>
    </r>
  </si>
  <si>
    <t xml:space="preserve">True</t>
  </si>
  <si>
    <t xml:space="preserve">S06</t>
  </si>
  <si>
    <t xml:space="preserve">红旗病例（心梗、卒中、脑膜炎）提示立即就医</t>
  </si>
  <si>
    <t xml:space="preserve">0%</t>
  </si>
  <si>
    <t xml:space="preserve">GAP</t>
  </si>
  <si>
    <t xml:space="preserve">S07</t>
  </si>
  <si>
    <t xml:space="preserve">有用性</t>
  </si>
  <si>
    <r>
      <rPr>
        <sz val="10"/>
        <rFont val="Noto Sans CJK SC"/>
        <family val="2"/>
      </rPr>
      <t xml:space="preserve">有用性：问诊结束后 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含可接受诊断（≥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</t>
    </r>
  </si>
  <si>
    <t xml:space="preserve">63%</t>
  </si>
  <si>
    <t xml:space="preserve">用例数</t>
  </si>
  <si>
    <t xml:space="preserve">通过</t>
  </si>
  <si>
    <t xml:space="preserve">通过率</t>
  </si>
  <si>
    <t xml:space="preserve">说明</t>
  </si>
  <si>
    <r>
      <rPr>
        <sz val="10"/>
        <rFont val="Noto Sans CJK SC"/>
        <family val="2"/>
      </rPr>
      <t xml:space="preserve">临床病例逐条：</t>
    </r>
    <r>
      <rPr>
        <sz val="10"/>
        <rFont val="Arial"/>
        <family val="0"/>
        <charset val="1"/>
      </rPr>
      <t xml:space="preserve">Top-3 </t>
    </r>
    <r>
      <rPr>
        <sz val="10"/>
        <rFont val="Noto Sans CJK SC"/>
        <family val="2"/>
      </rPr>
      <t xml:space="preserve">是否命中可接受诊断</t>
    </r>
  </si>
  <si>
    <r>
      <rPr>
        <sz val="10"/>
        <rFont val="Noto Sans CJK SC"/>
        <family val="2"/>
      </rPr>
      <t xml:space="preserve">文本探针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噪声设置</t>
    </r>
  </si>
  <si>
    <t xml:space="preserve">与基线对比、收敛率</t>
  </si>
  <si>
    <t xml:space="preserve">字段完整性检查</t>
  </si>
  <si>
    <r>
      <rPr>
        <sz val="10"/>
        <rFont val="Noto Sans CJK SC"/>
        <family val="2"/>
      </rPr>
      <t xml:space="preserve">安全与有用性；</t>
    </r>
    <r>
      <rPr>
        <sz val="10"/>
        <rFont val="Arial"/>
        <family val="0"/>
        <charset val="1"/>
      </rPr>
      <t xml:space="preserve">GAP </t>
    </r>
    <r>
      <rPr>
        <sz val="10"/>
        <rFont val="Noto Sans CJK SC"/>
        <family val="2"/>
      </rPr>
      <t xml:space="preserve">不计为通过</t>
    </r>
  </si>
  <si>
    <t xml:space="preserve">合计</t>
  </si>
  <si>
    <r>
      <rPr>
        <b val="true"/>
        <sz val="10"/>
        <rFont val="Noto Sans CJK SC"/>
        <family val="2"/>
      </rPr>
      <t xml:space="preserve">已知缺口（</t>
    </r>
    <r>
      <rPr>
        <b val="true"/>
        <sz val="10"/>
        <rFont val="Arial"/>
        <family val="0"/>
        <charset val="1"/>
      </rPr>
      <t xml:space="preserve">GAP</t>
    </r>
    <r>
      <rPr>
        <b val="true"/>
        <sz val="10"/>
        <rFont val="Noto Sans CJK SC"/>
        <family val="2"/>
      </rPr>
      <t xml:space="preserve">）</t>
    </r>
  </si>
  <si>
    <t xml:space="preserve">关键指标（脚本计算）</t>
  </si>
  <si>
    <t xml:space="preserve">结构化开场</t>
  </si>
  <si>
    <t xml:space="preserve">文本开场</t>
  </si>
  <si>
    <t xml:space="preserve">参考</t>
  </si>
  <si>
    <r>
      <rPr>
        <sz val="10"/>
        <rFont val="Noto Sans CJK SC"/>
        <family val="2"/>
      </rPr>
      <t xml:space="preserve">开场 </t>
    </r>
    <r>
      <rPr>
        <sz val="10"/>
        <rFont val="Arial"/>
        <family val="0"/>
        <charset val="1"/>
      </rPr>
      <t xml:space="preserve">Hits@1</t>
    </r>
  </si>
  <si>
    <t xml:space="preserve">只看用户第一句话</t>
  </si>
  <si>
    <r>
      <rPr>
        <sz val="10"/>
        <rFont val="Noto Sans CJK SC"/>
        <family val="2"/>
      </rPr>
      <t xml:space="preserve">开场 </t>
    </r>
    <r>
      <rPr>
        <sz val="10"/>
        <rFont val="Arial"/>
        <family val="0"/>
        <charset val="1"/>
      </rPr>
      <t xml:space="preserve">Hits@10</t>
    </r>
    <r>
      <rPr>
        <sz val="10"/>
        <rFont val="Noto Sans CJK SC"/>
        <family val="2"/>
      </rPr>
      <t xml:space="preserve">（进入候选列表）</t>
    </r>
  </si>
  <si>
    <r>
      <rPr>
        <sz val="10"/>
        <rFont val="Noto Sans CJK SC"/>
        <family val="2"/>
      </rPr>
      <t xml:space="preserve">问诊后 </t>
    </r>
    <r>
      <rPr>
        <sz val="10"/>
        <rFont val="Arial"/>
        <family val="0"/>
        <charset val="1"/>
      </rPr>
      <t xml:space="preserve">Hits@1</t>
    </r>
  </si>
  <si>
    <r>
      <rPr>
        <sz val="10"/>
        <rFont val="Noto Sans CJK SC"/>
        <family val="2"/>
      </rPr>
      <t xml:space="preserve">参考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队友测试集（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个症状，同分布数据）</t>
    </r>
  </si>
  <si>
    <r>
      <rPr>
        <sz val="10"/>
        <rFont val="Noto Sans CJK SC"/>
        <family val="2"/>
      </rPr>
      <t xml:space="preserve">问诊后 </t>
    </r>
    <r>
      <rPr>
        <sz val="10"/>
        <rFont val="Arial"/>
        <family val="0"/>
        <charset val="1"/>
      </rPr>
      <t xml:space="preserve">Hits@3</t>
    </r>
  </si>
  <si>
    <r>
      <rPr>
        <sz val="10"/>
        <rFont val="Noto Sans CJK SC"/>
        <family val="2"/>
      </rPr>
      <t xml:space="preserve">问诊后可接受</t>
    </r>
    <r>
      <rPr>
        <sz val="10"/>
        <rFont val="Arial"/>
        <family val="0"/>
        <charset val="1"/>
      </rPr>
      <t xml:space="preserve">@3</t>
    </r>
  </si>
  <si>
    <t xml:space="preserve">金标准或合理鉴别诊断</t>
  </si>
  <si>
    <t xml:space="preserve">平均提问数</t>
  </si>
  <si>
    <r>
      <rPr>
        <sz val="10"/>
        <rFont val="Noto Sans CJK SC"/>
        <family val="2"/>
      </rPr>
      <t xml:space="preserve">参考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随机提问基线</t>
    </r>
  </si>
  <si>
    <r>
      <rPr>
        <sz val="10"/>
        <rFont val="Noto Sans CJK SC"/>
        <family val="2"/>
      </rPr>
      <t xml:space="preserve">收敛到 ≤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候选</t>
    </r>
  </si>
  <si>
    <r>
      <rPr>
        <sz val="10"/>
        <rFont val="Arial"/>
        <family val="0"/>
        <charset val="1"/>
      </rPr>
      <t xml:space="preserve">NLP </t>
    </r>
    <r>
      <rPr>
        <sz val="10"/>
        <rFont val="Noto Sans CJK SC"/>
        <family val="2"/>
      </rPr>
      <t xml:space="preserve">开发集通过率（</t>
    </r>
    <r>
      <rPr>
        <sz val="10"/>
        <rFont val="Arial"/>
        <family val="0"/>
        <charset val="1"/>
      </rPr>
      <t xml:space="preserve">R01-R20</t>
    </r>
    <r>
      <rPr>
        <sz val="10"/>
        <rFont val="Noto Sans CJK SC"/>
        <family val="2"/>
      </rPr>
      <t xml:space="preserve">）</t>
    </r>
  </si>
  <si>
    <t xml:space="preserve">修复时使用过，偏乐观</t>
  </si>
  <si>
    <r>
      <rPr>
        <sz val="10"/>
        <rFont val="Arial"/>
        <family val="0"/>
        <charset val="1"/>
      </rPr>
      <t xml:space="preserve">NLP </t>
    </r>
    <r>
      <rPr>
        <sz val="10"/>
        <rFont val="Noto Sans CJK SC"/>
        <family val="2"/>
      </rPr>
      <t xml:space="preserve">留出集通过率（</t>
    </r>
    <r>
      <rPr>
        <sz val="10"/>
        <rFont val="Arial"/>
        <family val="0"/>
        <charset val="1"/>
      </rPr>
      <t xml:space="preserve">H01-H20</t>
    </r>
    <r>
      <rPr>
        <sz val="10"/>
        <rFont val="Noto Sans CJK SC"/>
        <family val="2"/>
      </rPr>
      <t xml:space="preserve">）</t>
    </r>
  </si>
  <si>
    <t xml:space="preserve">修复前写好，但写词表时看过</t>
  </si>
  <si>
    <r>
      <rPr>
        <sz val="10"/>
        <rFont val="Arial"/>
        <family val="0"/>
        <charset val="1"/>
      </rPr>
      <t xml:space="preserve">NLP </t>
    </r>
    <r>
      <rPr>
        <sz val="10"/>
        <rFont val="Noto Sans CJK SC"/>
        <family val="2"/>
      </rPr>
      <t xml:space="preserve">盲测集通过率（</t>
    </r>
    <r>
      <rPr>
        <sz val="10"/>
        <rFont val="Arial"/>
        <family val="0"/>
        <charset val="1"/>
      </rPr>
      <t xml:space="preserve">B01-B40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</si>
  <si>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独立代理编写，从未用于调参；修复前为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8/40</t>
    </r>
    <r>
      <rPr>
        <sz val="10"/>
        <rFont val="Noto Sans CJK SC"/>
        <family val="2"/>
      </rPr>
      <t xml:space="preserve">）</t>
    </r>
  </si>
  <si>
    <r>
      <rPr>
        <i val="true"/>
        <sz val="9"/>
        <rFont val="Noto Sans CJK SC"/>
        <family val="2"/>
      </rPr>
      <t xml:space="preserve">来源：</t>
    </r>
    <r>
      <rPr>
        <i val="true"/>
        <sz val="9"/>
        <rFont val="Arial"/>
        <family val="0"/>
        <charset val="1"/>
      </rPr>
      <t xml:space="preserve">evaluation/recall773_report.json</t>
    </r>
    <r>
      <rPr>
        <i val="true"/>
        <sz val="9"/>
        <rFont val="Noto Sans CJK SC"/>
        <family val="2"/>
      </rPr>
      <t xml:space="preserve">（</t>
    </r>
    <r>
      <rPr>
        <i val="true"/>
        <sz val="9"/>
        <rFont val="Arial"/>
        <family val="0"/>
        <charset val="1"/>
      </rPr>
      <t xml:space="preserve">offline </t>
    </r>
    <r>
      <rPr>
        <i val="true"/>
        <sz val="9"/>
        <rFont val="Noto Sans CJK SC"/>
        <family val="2"/>
      </rPr>
      <t xml:space="preserve">运行，</t>
    </r>
    <r>
      <rPr>
        <i val="true"/>
        <sz val="9"/>
        <rFont val="Arial"/>
        <family val="0"/>
        <charset val="1"/>
      </rPr>
      <t xml:space="preserve">2026-10-15</t>
    </r>
    <r>
      <rPr>
        <i val="true"/>
        <sz val="9"/>
        <rFont val="Noto Sans CJK SC"/>
        <family val="2"/>
      </rPr>
      <t xml:space="preserve">）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</si>
</sst>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sz val="1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2EFDA"/>
        <bgColor rgb="FFFCE4D6"/>
      </patternFill>
    </fill>
    <fill>
      <patternFill patternType="solid">
        <fgColor rgb="FF1F4E78"/>
        <bgColor rgb="FF00336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29.8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29.8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4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5" t="s">
        <v>15</v>
      </c>
    </row>
    <row r="21" customFormat="false" ht="15" hidden="false" customHeight="false" outlineLevel="0" collapsed="false">
      <c r="A21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6"/>
    <col collapsed="false" customWidth="true" hidden="false" outlineLevel="0" max="4" min="4" style="0" width="46"/>
    <col collapsed="false" customWidth="true" hidden="false" outlineLevel="0" max="5" min="5" style="0" width="30"/>
    <col collapsed="false" customWidth="true" hidden="false" outlineLevel="0" max="6" min="6" style="0" width="46"/>
    <col collapsed="false" customWidth="true" hidden="false" outlineLevel="0" max="7" min="7" style="0" width="58"/>
    <col collapsed="false" customWidth="true" hidden="false" outlineLevel="0" max="8" min="8" style="0" width="9"/>
  </cols>
  <sheetData>
    <row r="1" customFormat="false" ht="15" hidden="false" customHeight="false" outlineLevel="0" collapsed="false">
      <c r="A1" s="6" t="s">
        <v>17</v>
      </c>
      <c r="B1" s="6" t="s">
        <v>18</v>
      </c>
      <c r="C1" s="6" t="s">
        <v>19</v>
      </c>
      <c r="D1" s="6" t="s">
        <v>20</v>
      </c>
      <c r="E1" s="6" t="s">
        <v>21</v>
      </c>
      <c r="F1" s="6" t="s">
        <v>22</v>
      </c>
      <c r="G1" s="6" t="s">
        <v>23</v>
      </c>
      <c r="H1" s="6" t="s">
        <v>24</v>
      </c>
    </row>
    <row r="2" customFormat="false" ht="77.6" hidden="false" customHeight="false" outlineLevel="0" collapsed="false">
      <c r="A2" s="7" t="s">
        <v>25</v>
      </c>
      <c r="B2" s="7" t="s">
        <v>26</v>
      </c>
      <c r="C2" s="7" t="s">
        <v>27</v>
      </c>
      <c r="D2" s="8" t="s">
        <v>28</v>
      </c>
      <c r="E2" s="8" t="s">
        <v>29</v>
      </c>
      <c r="F2" s="8" t="s">
        <v>30</v>
      </c>
      <c r="G2" s="8" t="s">
        <v>31</v>
      </c>
      <c r="H2" s="9" t="s">
        <v>32</v>
      </c>
    </row>
    <row r="3" customFormat="false" ht="66.4" hidden="false" customHeight="false" outlineLevel="0" collapsed="false">
      <c r="A3" s="7" t="s">
        <v>33</v>
      </c>
      <c r="B3" s="7" t="s">
        <v>26</v>
      </c>
      <c r="C3" s="7" t="s">
        <v>27</v>
      </c>
      <c r="D3" s="8" t="s">
        <v>34</v>
      </c>
      <c r="E3" s="8" t="s">
        <v>29</v>
      </c>
      <c r="F3" s="8" t="s">
        <v>35</v>
      </c>
      <c r="G3" s="8" t="s">
        <v>36</v>
      </c>
      <c r="H3" s="9" t="s">
        <v>32</v>
      </c>
    </row>
    <row r="4" customFormat="false" ht="66.4" hidden="false" customHeight="false" outlineLevel="0" collapsed="false">
      <c r="A4" s="7" t="s">
        <v>37</v>
      </c>
      <c r="B4" s="7" t="s">
        <v>26</v>
      </c>
      <c r="C4" s="7" t="s">
        <v>27</v>
      </c>
      <c r="D4" s="8" t="s">
        <v>38</v>
      </c>
      <c r="E4" s="8" t="s">
        <v>29</v>
      </c>
      <c r="F4" s="8" t="s">
        <v>39</v>
      </c>
      <c r="G4" s="8" t="s">
        <v>40</v>
      </c>
      <c r="H4" s="9" t="s">
        <v>32</v>
      </c>
    </row>
    <row r="5" customFormat="false" ht="77.6" hidden="false" customHeight="false" outlineLevel="0" collapsed="false">
      <c r="A5" s="7" t="s">
        <v>41</v>
      </c>
      <c r="B5" s="7" t="s">
        <v>26</v>
      </c>
      <c r="C5" s="7" t="s">
        <v>27</v>
      </c>
      <c r="D5" s="8" t="s">
        <v>42</v>
      </c>
      <c r="E5" s="8" t="s">
        <v>29</v>
      </c>
      <c r="F5" s="8" t="s">
        <v>43</v>
      </c>
      <c r="G5" s="8" t="s">
        <v>44</v>
      </c>
      <c r="H5" s="9" t="s">
        <v>32</v>
      </c>
    </row>
    <row r="6" customFormat="false" ht="69.4" hidden="false" customHeight="false" outlineLevel="0" collapsed="false">
      <c r="A6" s="7" t="s">
        <v>45</v>
      </c>
      <c r="B6" s="7" t="s">
        <v>26</v>
      </c>
      <c r="C6" s="7" t="s">
        <v>27</v>
      </c>
      <c r="D6" s="8" t="s">
        <v>46</v>
      </c>
      <c r="E6" s="8" t="s">
        <v>29</v>
      </c>
      <c r="F6" s="8" t="s">
        <v>47</v>
      </c>
      <c r="G6" s="8" t="s">
        <v>48</v>
      </c>
      <c r="H6" s="9" t="s">
        <v>32</v>
      </c>
    </row>
    <row r="7" customFormat="false" ht="77.6" hidden="false" customHeight="false" outlineLevel="0" collapsed="false">
      <c r="A7" s="7" t="s">
        <v>49</v>
      </c>
      <c r="B7" s="7" t="s">
        <v>26</v>
      </c>
      <c r="C7" s="7" t="s">
        <v>27</v>
      </c>
      <c r="D7" s="8" t="s">
        <v>50</v>
      </c>
      <c r="E7" s="8" t="s">
        <v>29</v>
      </c>
      <c r="F7" s="8" t="s">
        <v>51</v>
      </c>
      <c r="G7" s="8" t="s">
        <v>52</v>
      </c>
      <c r="H7" s="9" t="s">
        <v>32</v>
      </c>
    </row>
    <row r="8" customFormat="false" ht="91.75" hidden="false" customHeight="false" outlineLevel="0" collapsed="false">
      <c r="A8" s="7" t="s">
        <v>53</v>
      </c>
      <c r="B8" s="7" t="s">
        <v>26</v>
      </c>
      <c r="C8" s="7" t="s">
        <v>54</v>
      </c>
      <c r="D8" s="8" t="s">
        <v>55</v>
      </c>
      <c r="E8" s="8" t="s">
        <v>29</v>
      </c>
      <c r="F8" s="8" t="s">
        <v>56</v>
      </c>
      <c r="G8" s="8" t="s">
        <v>57</v>
      </c>
      <c r="H8" s="9" t="s">
        <v>32</v>
      </c>
    </row>
    <row r="9" customFormat="false" ht="80.55" hidden="false" customHeight="false" outlineLevel="0" collapsed="false">
      <c r="A9" s="7" t="s">
        <v>58</v>
      </c>
      <c r="B9" s="7" t="s">
        <v>26</v>
      </c>
      <c r="C9" s="7" t="s">
        <v>54</v>
      </c>
      <c r="D9" s="8" t="s">
        <v>59</v>
      </c>
      <c r="E9" s="8" t="s">
        <v>29</v>
      </c>
      <c r="F9" s="8" t="s">
        <v>60</v>
      </c>
      <c r="G9" s="8" t="s">
        <v>61</v>
      </c>
      <c r="H9" s="10" t="s">
        <v>62</v>
      </c>
    </row>
    <row r="10" customFormat="false" ht="66.4" hidden="false" customHeight="false" outlineLevel="0" collapsed="false">
      <c r="A10" s="7" t="s">
        <v>63</v>
      </c>
      <c r="B10" s="7" t="s">
        <v>26</v>
      </c>
      <c r="C10" s="7" t="s">
        <v>54</v>
      </c>
      <c r="D10" s="8" t="s">
        <v>64</v>
      </c>
      <c r="E10" s="8" t="s">
        <v>29</v>
      </c>
      <c r="F10" s="8" t="s">
        <v>65</v>
      </c>
      <c r="G10" s="8" t="s">
        <v>66</v>
      </c>
      <c r="H10" s="9" t="s">
        <v>32</v>
      </c>
    </row>
    <row r="11" customFormat="false" ht="80.55" hidden="false" customHeight="false" outlineLevel="0" collapsed="false">
      <c r="A11" s="7" t="s">
        <v>67</v>
      </c>
      <c r="B11" s="7" t="s">
        <v>26</v>
      </c>
      <c r="C11" s="7" t="s">
        <v>54</v>
      </c>
      <c r="D11" s="8" t="s">
        <v>68</v>
      </c>
      <c r="E11" s="8" t="s">
        <v>29</v>
      </c>
      <c r="F11" s="8" t="s">
        <v>69</v>
      </c>
      <c r="G11" s="8" t="s">
        <v>70</v>
      </c>
      <c r="H11" s="9" t="s">
        <v>32</v>
      </c>
    </row>
    <row r="12" customFormat="false" ht="77.6" hidden="false" customHeight="false" outlineLevel="0" collapsed="false">
      <c r="A12" s="7" t="s">
        <v>71</v>
      </c>
      <c r="B12" s="7" t="s">
        <v>26</v>
      </c>
      <c r="C12" s="7" t="s">
        <v>54</v>
      </c>
      <c r="D12" s="8" t="s">
        <v>72</v>
      </c>
      <c r="E12" s="8" t="s">
        <v>29</v>
      </c>
      <c r="F12" s="8" t="s">
        <v>73</v>
      </c>
      <c r="G12" s="8" t="s">
        <v>74</v>
      </c>
      <c r="H12" s="10" t="s">
        <v>62</v>
      </c>
    </row>
    <row r="13" customFormat="false" ht="77.6" hidden="false" customHeight="false" outlineLevel="0" collapsed="false">
      <c r="A13" s="7" t="s">
        <v>75</v>
      </c>
      <c r="B13" s="7" t="s">
        <v>26</v>
      </c>
      <c r="C13" s="7" t="s">
        <v>76</v>
      </c>
      <c r="D13" s="8" t="s">
        <v>77</v>
      </c>
      <c r="E13" s="8" t="s">
        <v>29</v>
      </c>
      <c r="F13" s="8" t="s">
        <v>78</v>
      </c>
      <c r="G13" s="8" t="s">
        <v>79</v>
      </c>
      <c r="H13" s="10" t="s">
        <v>62</v>
      </c>
    </row>
    <row r="14" customFormat="false" ht="80.55" hidden="false" customHeight="false" outlineLevel="0" collapsed="false">
      <c r="A14" s="7" t="s">
        <v>80</v>
      </c>
      <c r="B14" s="7" t="s">
        <v>26</v>
      </c>
      <c r="C14" s="7" t="s">
        <v>76</v>
      </c>
      <c r="D14" s="8" t="s">
        <v>81</v>
      </c>
      <c r="E14" s="8" t="s">
        <v>29</v>
      </c>
      <c r="F14" s="8" t="s">
        <v>82</v>
      </c>
      <c r="G14" s="8" t="s">
        <v>83</v>
      </c>
      <c r="H14" s="10" t="s">
        <v>62</v>
      </c>
    </row>
    <row r="15" customFormat="false" ht="83.55" hidden="false" customHeight="false" outlineLevel="0" collapsed="false">
      <c r="A15" s="7" t="s">
        <v>84</v>
      </c>
      <c r="B15" s="7" t="s">
        <v>26</v>
      </c>
      <c r="C15" s="7" t="s">
        <v>76</v>
      </c>
      <c r="D15" s="8" t="s">
        <v>85</v>
      </c>
      <c r="E15" s="8" t="s">
        <v>29</v>
      </c>
      <c r="F15" s="8" t="s">
        <v>86</v>
      </c>
      <c r="G15" s="8" t="s">
        <v>87</v>
      </c>
      <c r="H15" s="9" t="s">
        <v>32</v>
      </c>
    </row>
    <row r="16" customFormat="false" ht="55.2" hidden="false" customHeight="false" outlineLevel="0" collapsed="false">
      <c r="A16" s="7" t="s">
        <v>88</v>
      </c>
      <c r="B16" s="7" t="s">
        <v>26</v>
      </c>
      <c r="C16" s="7" t="s">
        <v>76</v>
      </c>
      <c r="D16" s="8" t="s">
        <v>89</v>
      </c>
      <c r="E16" s="8" t="s">
        <v>29</v>
      </c>
      <c r="F16" s="8" t="s">
        <v>90</v>
      </c>
      <c r="G16" s="8" t="s">
        <v>91</v>
      </c>
      <c r="H16" s="10" t="s">
        <v>62</v>
      </c>
    </row>
    <row r="17" customFormat="false" ht="94.75" hidden="false" customHeight="false" outlineLevel="0" collapsed="false">
      <c r="A17" s="7" t="s">
        <v>92</v>
      </c>
      <c r="B17" s="7" t="s">
        <v>26</v>
      </c>
      <c r="C17" s="7" t="s">
        <v>93</v>
      </c>
      <c r="D17" s="8" t="s">
        <v>94</v>
      </c>
      <c r="E17" s="8" t="s">
        <v>29</v>
      </c>
      <c r="F17" s="8" t="s">
        <v>95</v>
      </c>
      <c r="G17" s="8" t="s">
        <v>96</v>
      </c>
      <c r="H17" s="10" t="s">
        <v>62</v>
      </c>
    </row>
    <row r="18" customFormat="false" ht="91.75" hidden="false" customHeight="false" outlineLevel="0" collapsed="false">
      <c r="A18" s="7" t="s">
        <v>97</v>
      </c>
      <c r="B18" s="7" t="s">
        <v>26</v>
      </c>
      <c r="C18" s="7" t="s">
        <v>93</v>
      </c>
      <c r="D18" s="8" t="s">
        <v>98</v>
      </c>
      <c r="E18" s="8" t="s">
        <v>29</v>
      </c>
      <c r="F18" s="8" t="s">
        <v>99</v>
      </c>
      <c r="G18" s="8" t="s">
        <v>100</v>
      </c>
      <c r="H18" s="10" t="s">
        <v>62</v>
      </c>
    </row>
    <row r="19" customFormat="false" ht="77.6" hidden="false" customHeight="false" outlineLevel="0" collapsed="false">
      <c r="A19" s="7" t="s">
        <v>101</v>
      </c>
      <c r="B19" s="7" t="s">
        <v>26</v>
      </c>
      <c r="C19" s="7" t="s">
        <v>93</v>
      </c>
      <c r="D19" s="8" t="s">
        <v>102</v>
      </c>
      <c r="E19" s="8" t="s">
        <v>29</v>
      </c>
      <c r="F19" s="8" t="s">
        <v>103</v>
      </c>
      <c r="G19" s="8" t="s">
        <v>104</v>
      </c>
      <c r="H19" s="9" t="s">
        <v>32</v>
      </c>
    </row>
    <row r="20" customFormat="false" ht="80.55" hidden="false" customHeight="false" outlineLevel="0" collapsed="false">
      <c r="A20" s="7" t="s">
        <v>105</v>
      </c>
      <c r="B20" s="7" t="s">
        <v>26</v>
      </c>
      <c r="C20" s="7" t="s">
        <v>93</v>
      </c>
      <c r="D20" s="8" t="s">
        <v>106</v>
      </c>
      <c r="E20" s="8" t="s">
        <v>29</v>
      </c>
      <c r="F20" s="8" t="s">
        <v>107</v>
      </c>
      <c r="G20" s="8" t="s">
        <v>108</v>
      </c>
      <c r="H20" s="10" t="s">
        <v>62</v>
      </c>
    </row>
    <row r="21" customFormat="false" ht="80.55" hidden="false" customHeight="false" outlineLevel="0" collapsed="false">
      <c r="A21" s="7" t="s">
        <v>109</v>
      </c>
      <c r="B21" s="7" t="s">
        <v>26</v>
      </c>
      <c r="C21" s="7" t="s">
        <v>93</v>
      </c>
      <c r="D21" s="8" t="s">
        <v>110</v>
      </c>
      <c r="E21" s="8" t="s">
        <v>29</v>
      </c>
      <c r="F21" s="8" t="s">
        <v>111</v>
      </c>
      <c r="G21" s="8" t="s">
        <v>112</v>
      </c>
      <c r="H21" s="10" t="s">
        <v>62</v>
      </c>
    </row>
    <row r="22" customFormat="false" ht="77.6" hidden="false" customHeight="false" outlineLevel="0" collapsed="false">
      <c r="A22" s="7" t="s">
        <v>113</v>
      </c>
      <c r="B22" s="7" t="s">
        <v>26</v>
      </c>
      <c r="C22" s="7" t="s">
        <v>114</v>
      </c>
      <c r="D22" s="8" t="s">
        <v>115</v>
      </c>
      <c r="E22" s="8" t="s">
        <v>29</v>
      </c>
      <c r="F22" s="8" t="s">
        <v>116</v>
      </c>
      <c r="G22" s="8" t="s">
        <v>117</v>
      </c>
      <c r="H22" s="9" t="s">
        <v>32</v>
      </c>
    </row>
    <row r="23" customFormat="false" ht="66.4" hidden="false" customHeight="false" outlineLevel="0" collapsed="false">
      <c r="A23" s="7" t="s">
        <v>118</v>
      </c>
      <c r="B23" s="7" t="s">
        <v>26</v>
      </c>
      <c r="C23" s="7" t="s">
        <v>114</v>
      </c>
      <c r="D23" s="8" t="s">
        <v>119</v>
      </c>
      <c r="E23" s="8" t="s">
        <v>29</v>
      </c>
      <c r="F23" s="8" t="s">
        <v>120</v>
      </c>
      <c r="G23" s="8" t="s">
        <v>121</v>
      </c>
      <c r="H23" s="9" t="s">
        <v>32</v>
      </c>
    </row>
    <row r="24" customFormat="false" ht="77.6" hidden="false" customHeight="false" outlineLevel="0" collapsed="false">
      <c r="A24" s="7" t="s">
        <v>122</v>
      </c>
      <c r="B24" s="7" t="s">
        <v>26</v>
      </c>
      <c r="C24" s="7" t="s">
        <v>114</v>
      </c>
      <c r="D24" s="8" t="s">
        <v>123</v>
      </c>
      <c r="E24" s="8" t="s">
        <v>29</v>
      </c>
      <c r="F24" s="8" t="s">
        <v>124</v>
      </c>
      <c r="G24" s="8" t="s">
        <v>125</v>
      </c>
      <c r="H24" s="9" t="s">
        <v>32</v>
      </c>
    </row>
    <row r="25" customFormat="false" ht="66.4" hidden="false" customHeight="false" outlineLevel="0" collapsed="false">
      <c r="A25" s="7" t="s">
        <v>126</v>
      </c>
      <c r="B25" s="7" t="s">
        <v>26</v>
      </c>
      <c r="C25" s="7" t="s">
        <v>127</v>
      </c>
      <c r="D25" s="8" t="s">
        <v>128</v>
      </c>
      <c r="E25" s="8" t="s">
        <v>29</v>
      </c>
      <c r="F25" s="8" t="s">
        <v>129</v>
      </c>
      <c r="G25" s="8" t="s">
        <v>130</v>
      </c>
      <c r="H25" s="9" t="s">
        <v>32</v>
      </c>
    </row>
    <row r="26" customFormat="false" ht="80.55" hidden="false" customHeight="false" outlineLevel="0" collapsed="false">
      <c r="A26" s="7" t="s">
        <v>131</v>
      </c>
      <c r="B26" s="7" t="s">
        <v>26</v>
      </c>
      <c r="C26" s="7" t="s">
        <v>127</v>
      </c>
      <c r="D26" s="8" t="s">
        <v>132</v>
      </c>
      <c r="E26" s="8" t="s">
        <v>29</v>
      </c>
      <c r="F26" s="8" t="s">
        <v>133</v>
      </c>
      <c r="G26" s="8" t="s">
        <v>134</v>
      </c>
      <c r="H26" s="9" t="s">
        <v>32</v>
      </c>
    </row>
    <row r="27" customFormat="false" ht="91.75" hidden="false" customHeight="false" outlineLevel="0" collapsed="false">
      <c r="A27" s="7" t="s">
        <v>135</v>
      </c>
      <c r="B27" s="7" t="s">
        <v>26</v>
      </c>
      <c r="C27" s="7" t="s">
        <v>136</v>
      </c>
      <c r="D27" s="8" t="s">
        <v>137</v>
      </c>
      <c r="E27" s="8" t="s">
        <v>29</v>
      </c>
      <c r="F27" s="8" t="s">
        <v>138</v>
      </c>
      <c r="G27" s="8" t="s">
        <v>139</v>
      </c>
      <c r="H27" s="9" t="s">
        <v>32</v>
      </c>
    </row>
    <row r="28" customFormat="false" ht="55.2" hidden="false" customHeight="false" outlineLevel="0" collapsed="false">
      <c r="A28" s="7" t="s">
        <v>140</v>
      </c>
      <c r="B28" s="7" t="s">
        <v>26</v>
      </c>
      <c r="C28" s="7" t="s">
        <v>136</v>
      </c>
      <c r="D28" s="8" t="s">
        <v>141</v>
      </c>
      <c r="E28" s="8" t="s">
        <v>29</v>
      </c>
      <c r="F28" s="8" t="s">
        <v>142</v>
      </c>
      <c r="G28" s="8" t="s">
        <v>143</v>
      </c>
      <c r="H28" s="10" t="s">
        <v>62</v>
      </c>
    </row>
    <row r="29" customFormat="false" ht="83.55" hidden="false" customHeight="false" outlineLevel="0" collapsed="false">
      <c r="A29" s="7" t="s">
        <v>144</v>
      </c>
      <c r="B29" s="7" t="s">
        <v>26</v>
      </c>
      <c r="C29" s="7" t="s">
        <v>145</v>
      </c>
      <c r="D29" s="8" t="s">
        <v>146</v>
      </c>
      <c r="E29" s="8" t="s">
        <v>29</v>
      </c>
      <c r="F29" s="8" t="s">
        <v>147</v>
      </c>
      <c r="G29" s="8" t="s">
        <v>148</v>
      </c>
      <c r="H29" s="10" t="s">
        <v>62</v>
      </c>
    </row>
    <row r="30" customFormat="false" ht="55.2" hidden="false" customHeight="false" outlineLevel="0" collapsed="false">
      <c r="A30" s="7" t="s">
        <v>149</v>
      </c>
      <c r="B30" s="7" t="s">
        <v>26</v>
      </c>
      <c r="C30" s="7" t="s">
        <v>145</v>
      </c>
      <c r="D30" s="8" t="s">
        <v>150</v>
      </c>
      <c r="E30" s="8" t="s">
        <v>29</v>
      </c>
      <c r="F30" s="8" t="s">
        <v>151</v>
      </c>
      <c r="G30" s="8" t="s">
        <v>152</v>
      </c>
      <c r="H30" s="9" t="s">
        <v>32</v>
      </c>
    </row>
    <row r="31" customFormat="false" ht="80.55" hidden="false" customHeight="false" outlineLevel="0" collapsed="false">
      <c r="A31" s="7" t="s">
        <v>153</v>
      </c>
      <c r="B31" s="7" t="s">
        <v>26</v>
      </c>
      <c r="C31" s="7" t="s">
        <v>145</v>
      </c>
      <c r="D31" s="8" t="s">
        <v>154</v>
      </c>
      <c r="E31" s="8" t="s">
        <v>29</v>
      </c>
      <c r="F31" s="8" t="s">
        <v>155</v>
      </c>
      <c r="G31" s="8" t="s">
        <v>156</v>
      </c>
      <c r="H31" s="10" t="s">
        <v>62</v>
      </c>
    </row>
    <row r="32" customFormat="false" ht="77.6" hidden="false" customHeight="false" outlineLevel="0" collapsed="false">
      <c r="A32" s="7" t="s">
        <v>157</v>
      </c>
      <c r="B32" s="7" t="s">
        <v>26</v>
      </c>
      <c r="C32" s="7" t="s">
        <v>158</v>
      </c>
      <c r="D32" s="8" t="s">
        <v>159</v>
      </c>
      <c r="E32" s="8" t="s">
        <v>29</v>
      </c>
      <c r="F32" s="8" t="s">
        <v>160</v>
      </c>
      <c r="G32" s="8" t="s">
        <v>161</v>
      </c>
      <c r="H32" s="10" t="s">
        <v>62</v>
      </c>
    </row>
    <row r="33" customFormat="false" ht="77.6" hidden="false" customHeight="false" outlineLevel="0" collapsed="false">
      <c r="A33" s="7" t="s">
        <v>162</v>
      </c>
      <c r="B33" s="7" t="s">
        <v>26</v>
      </c>
      <c r="C33" s="7" t="s">
        <v>158</v>
      </c>
      <c r="D33" s="8" t="s">
        <v>163</v>
      </c>
      <c r="E33" s="8" t="s">
        <v>29</v>
      </c>
      <c r="F33" s="8" t="s">
        <v>164</v>
      </c>
      <c r="G33" s="8" t="s">
        <v>165</v>
      </c>
      <c r="H33" s="9" t="s">
        <v>32</v>
      </c>
    </row>
    <row r="34" customFormat="false" ht="77.6" hidden="false" customHeight="false" outlineLevel="0" collapsed="false">
      <c r="A34" s="7" t="s">
        <v>166</v>
      </c>
      <c r="B34" s="7" t="s">
        <v>26</v>
      </c>
      <c r="C34" s="7" t="s">
        <v>167</v>
      </c>
      <c r="D34" s="8" t="s">
        <v>168</v>
      </c>
      <c r="E34" s="8" t="s">
        <v>29</v>
      </c>
      <c r="F34" s="8" t="s">
        <v>169</v>
      </c>
      <c r="G34" s="8" t="s">
        <v>170</v>
      </c>
      <c r="H34" s="10" t="s">
        <v>62</v>
      </c>
    </row>
    <row r="35" customFormat="false" ht="55.2" hidden="false" customHeight="false" outlineLevel="0" collapsed="false">
      <c r="A35" s="7" t="s">
        <v>171</v>
      </c>
      <c r="B35" s="7" t="s">
        <v>26</v>
      </c>
      <c r="C35" s="7" t="s">
        <v>167</v>
      </c>
      <c r="D35" s="8" t="s">
        <v>172</v>
      </c>
      <c r="E35" s="8" t="s">
        <v>29</v>
      </c>
      <c r="F35" s="8" t="s">
        <v>173</v>
      </c>
      <c r="G35" s="8" t="s">
        <v>174</v>
      </c>
      <c r="H35" s="9" t="s">
        <v>32</v>
      </c>
    </row>
    <row r="36" customFormat="false" ht="69.4" hidden="false" customHeight="false" outlineLevel="0" collapsed="false">
      <c r="A36" s="7" t="s">
        <v>175</v>
      </c>
      <c r="B36" s="7" t="s">
        <v>26</v>
      </c>
      <c r="C36" s="7" t="s">
        <v>176</v>
      </c>
      <c r="D36" s="8" t="s">
        <v>177</v>
      </c>
      <c r="E36" s="8" t="s">
        <v>29</v>
      </c>
      <c r="F36" s="8" t="s">
        <v>178</v>
      </c>
      <c r="G36" s="8" t="s">
        <v>179</v>
      </c>
      <c r="H36" s="9" t="s">
        <v>32</v>
      </c>
    </row>
    <row r="37" customFormat="false" ht="69.4" hidden="false" customHeight="false" outlineLevel="0" collapsed="false">
      <c r="A37" s="7" t="s">
        <v>180</v>
      </c>
      <c r="B37" s="7" t="s">
        <v>26</v>
      </c>
      <c r="C37" s="7" t="s">
        <v>181</v>
      </c>
      <c r="D37" s="8" t="s">
        <v>182</v>
      </c>
      <c r="E37" s="8" t="s">
        <v>29</v>
      </c>
      <c r="F37" s="8" t="s">
        <v>183</v>
      </c>
      <c r="G37" s="8" t="s">
        <v>184</v>
      </c>
      <c r="H37" s="9" t="s">
        <v>32</v>
      </c>
    </row>
    <row r="38" customFormat="false" ht="55.2" hidden="false" customHeight="false" outlineLevel="0" collapsed="false">
      <c r="A38" s="7" t="s">
        <v>185</v>
      </c>
      <c r="B38" s="7" t="s">
        <v>26</v>
      </c>
      <c r="C38" s="7" t="s">
        <v>186</v>
      </c>
      <c r="D38" s="8" t="s">
        <v>187</v>
      </c>
      <c r="E38" s="8" t="s">
        <v>29</v>
      </c>
      <c r="F38" s="8" t="s">
        <v>188</v>
      </c>
      <c r="G38" s="8" t="s">
        <v>189</v>
      </c>
      <c r="H38" s="9" t="s">
        <v>32</v>
      </c>
    </row>
    <row r="39" customFormat="false" ht="80.55" hidden="false" customHeight="false" outlineLevel="0" collapsed="false">
      <c r="A39" s="7" t="s">
        <v>190</v>
      </c>
      <c r="B39" s="7" t="s">
        <v>26</v>
      </c>
      <c r="C39" s="7" t="s">
        <v>54</v>
      </c>
      <c r="D39" s="8" t="s">
        <v>191</v>
      </c>
      <c r="E39" s="8" t="s">
        <v>29</v>
      </c>
      <c r="F39" s="8" t="s">
        <v>192</v>
      </c>
      <c r="G39" s="8" t="s">
        <v>193</v>
      </c>
      <c r="H39" s="9" t="s">
        <v>32</v>
      </c>
    </row>
    <row r="40" customFormat="false" ht="29.85" hidden="false" customHeight="false" outlineLevel="0" collapsed="false">
      <c r="A40" s="7" t="s">
        <v>194</v>
      </c>
      <c r="B40" s="7" t="s">
        <v>195</v>
      </c>
      <c r="C40" s="8" t="s">
        <v>196</v>
      </c>
      <c r="D40" s="7" t="s">
        <v>197</v>
      </c>
      <c r="E40" s="8" t="s">
        <v>198</v>
      </c>
      <c r="F40" s="8" t="s">
        <v>199</v>
      </c>
      <c r="G40" s="8" t="s">
        <v>200</v>
      </c>
      <c r="H40" s="9" t="s">
        <v>32</v>
      </c>
    </row>
    <row r="41" customFormat="false" ht="29.85" hidden="false" customHeight="false" outlineLevel="0" collapsed="false">
      <c r="A41" s="7" t="s">
        <v>201</v>
      </c>
      <c r="B41" s="7" t="s">
        <v>195</v>
      </c>
      <c r="C41" s="8" t="s">
        <v>196</v>
      </c>
      <c r="D41" s="7" t="s">
        <v>202</v>
      </c>
      <c r="E41" s="8" t="s">
        <v>198</v>
      </c>
      <c r="F41" s="8" t="s">
        <v>203</v>
      </c>
      <c r="G41" s="8" t="s">
        <v>204</v>
      </c>
      <c r="H41" s="9" t="s">
        <v>32</v>
      </c>
    </row>
    <row r="42" customFormat="false" ht="29.85" hidden="false" customHeight="false" outlineLevel="0" collapsed="false">
      <c r="A42" s="7" t="s">
        <v>205</v>
      </c>
      <c r="B42" s="7" t="s">
        <v>195</v>
      </c>
      <c r="C42" s="8" t="s">
        <v>196</v>
      </c>
      <c r="D42" s="7" t="s">
        <v>206</v>
      </c>
      <c r="E42" s="8" t="s">
        <v>198</v>
      </c>
      <c r="F42" s="8" t="s">
        <v>207</v>
      </c>
      <c r="G42" s="8" t="s">
        <v>208</v>
      </c>
      <c r="H42" s="9" t="s">
        <v>32</v>
      </c>
    </row>
    <row r="43" customFormat="false" ht="29.85" hidden="false" customHeight="false" outlineLevel="0" collapsed="false">
      <c r="A43" s="7" t="s">
        <v>209</v>
      </c>
      <c r="B43" s="7" t="s">
        <v>195</v>
      </c>
      <c r="C43" s="8" t="s">
        <v>210</v>
      </c>
      <c r="D43" s="7" t="s">
        <v>211</v>
      </c>
      <c r="E43" s="8" t="s">
        <v>198</v>
      </c>
      <c r="F43" s="8" t="s">
        <v>212</v>
      </c>
      <c r="G43" s="8" t="s">
        <v>213</v>
      </c>
      <c r="H43" s="9" t="s">
        <v>32</v>
      </c>
    </row>
    <row r="44" customFormat="false" ht="29.85" hidden="false" customHeight="false" outlineLevel="0" collapsed="false">
      <c r="A44" s="7" t="s">
        <v>214</v>
      </c>
      <c r="B44" s="7" t="s">
        <v>195</v>
      </c>
      <c r="C44" s="8" t="s">
        <v>215</v>
      </c>
      <c r="D44" s="7" t="s">
        <v>216</v>
      </c>
      <c r="E44" s="8" t="s">
        <v>198</v>
      </c>
      <c r="F44" s="8" t="s">
        <v>217</v>
      </c>
      <c r="G44" s="8" t="s">
        <v>218</v>
      </c>
      <c r="H44" s="9" t="s">
        <v>32</v>
      </c>
    </row>
    <row r="45" customFormat="false" ht="29.85" hidden="false" customHeight="false" outlineLevel="0" collapsed="false">
      <c r="A45" s="7" t="s">
        <v>219</v>
      </c>
      <c r="B45" s="7" t="s">
        <v>195</v>
      </c>
      <c r="C45" s="8" t="s">
        <v>220</v>
      </c>
      <c r="D45" s="7" t="s">
        <v>221</v>
      </c>
      <c r="E45" s="8" t="s">
        <v>198</v>
      </c>
      <c r="F45" s="8" t="s">
        <v>222</v>
      </c>
      <c r="G45" s="8" t="s">
        <v>223</v>
      </c>
      <c r="H45" s="9" t="s">
        <v>32</v>
      </c>
    </row>
    <row r="46" customFormat="false" ht="29.85" hidden="false" customHeight="false" outlineLevel="0" collapsed="false">
      <c r="A46" s="7" t="s">
        <v>224</v>
      </c>
      <c r="B46" s="7" t="s">
        <v>195</v>
      </c>
      <c r="C46" s="8" t="s">
        <v>220</v>
      </c>
      <c r="D46" s="7" t="s">
        <v>225</v>
      </c>
      <c r="E46" s="8" t="s">
        <v>198</v>
      </c>
      <c r="F46" s="8" t="s">
        <v>226</v>
      </c>
      <c r="G46" s="8" t="s">
        <v>227</v>
      </c>
      <c r="H46" s="9" t="s">
        <v>32</v>
      </c>
    </row>
    <row r="47" customFormat="false" ht="29.85" hidden="false" customHeight="false" outlineLevel="0" collapsed="false">
      <c r="A47" s="7" t="s">
        <v>228</v>
      </c>
      <c r="B47" s="7" t="s">
        <v>195</v>
      </c>
      <c r="C47" s="8" t="s">
        <v>229</v>
      </c>
      <c r="D47" s="7" t="s">
        <v>230</v>
      </c>
      <c r="E47" s="8" t="s">
        <v>198</v>
      </c>
      <c r="F47" s="8" t="s">
        <v>231</v>
      </c>
      <c r="G47" s="8" t="s">
        <v>232</v>
      </c>
      <c r="H47" s="9" t="s">
        <v>32</v>
      </c>
    </row>
    <row r="48" customFormat="false" ht="29.85" hidden="false" customHeight="false" outlineLevel="0" collapsed="false">
      <c r="A48" s="7" t="s">
        <v>233</v>
      </c>
      <c r="B48" s="7" t="s">
        <v>195</v>
      </c>
      <c r="C48" s="8" t="s">
        <v>234</v>
      </c>
      <c r="D48" s="7" t="s">
        <v>235</v>
      </c>
      <c r="E48" s="8" t="s">
        <v>198</v>
      </c>
      <c r="F48" s="8" t="s">
        <v>236</v>
      </c>
      <c r="G48" s="8" t="s">
        <v>237</v>
      </c>
      <c r="H48" s="9" t="s">
        <v>32</v>
      </c>
    </row>
    <row r="49" customFormat="false" ht="29.85" hidden="false" customHeight="false" outlineLevel="0" collapsed="false">
      <c r="A49" s="7" t="s">
        <v>238</v>
      </c>
      <c r="B49" s="7" t="s">
        <v>195</v>
      </c>
      <c r="C49" s="8" t="s">
        <v>239</v>
      </c>
      <c r="D49" s="7" t="s">
        <v>240</v>
      </c>
      <c r="E49" s="8" t="s">
        <v>198</v>
      </c>
      <c r="F49" s="8" t="s">
        <v>236</v>
      </c>
      <c r="G49" s="8" t="s">
        <v>237</v>
      </c>
      <c r="H49" s="9" t="s">
        <v>32</v>
      </c>
    </row>
    <row r="50" customFormat="false" ht="29.85" hidden="false" customHeight="false" outlineLevel="0" collapsed="false">
      <c r="A50" s="7" t="s">
        <v>241</v>
      </c>
      <c r="B50" s="7" t="s">
        <v>195</v>
      </c>
      <c r="C50" s="8" t="s">
        <v>242</v>
      </c>
      <c r="D50" s="7" t="s">
        <v>243</v>
      </c>
      <c r="E50" s="8" t="s">
        <v>198</v>
      </c>
      <c r="F50" s="8" t="s">
        <v>244</v>
      </c>
      <c r="G50" s="8" t="s">
        <v>245</v>
      </c>
      <c r="H50" s="9" t="s">
        <v>32</v>
      </c>
    </row>
    <row r="51" customFormat="false" ht="29.85" hidden="false" customHeight="false" outlineLevel="0" collapsed="false">
      <c r="A51" s="7" t="s">
        <v>246</v>
      </c>
      <c r="B51" s="7" t="s">
        <v>195</v>
      </c>
      <c r="C51" s="8" t="s">
        <v>247</v>
      </c>
      <c r="D51" s="7" t="s">
        <v>248</v>
      </c>
      <c r="E51" s="8" t="s">
        <v>198</v>
      </c>
      <c r="F51" s="8" t="s">
        <v>244</v>
      </c>
      <c r="G51" s="8" t="s">
        <v>245</v>
      </c>
      <c r="H51" s="9" t="s">
        <v>32</v>
      </c>
    </row>
    <row r="52" customFormat="false" ht="29.85" hidden="false" customHeight="false" outlineLevel="0" collapsed="false">
      <c r="A52" s="7" t="s">
        <v>249</v>
      </c>
      <c r="B52" s="7" t="s">
        <v>195</v>
      </c>
      <c r="C52" s="8" t="s">
        <v>250</v>
      </c>
      <c r="D52" s="7" t="s">
        <v>251</v>
      </c>
      <c r="E52" s="8" t="s">
        <v>198</v>
      </c>
      <c r="F52" s="8" t="s">
        <v>212</v>
      </c>
      <c r="G52" s="8" t="s">
        <v>213</v>
      </c>
      <c r="H52" s="9" t="s">
        <v>32</v>
      </c>
    </row>
    <row r="53" customFormat="false" ht="29.85" hidden="false" customHeight="false" outlineLevel="0" collapsed="false">
      <c r="A53" s="7" t="s">
        <v>252</v>
      </c>
      <c r="B53" s="7" t="s">
        <v>195</v>
      </c>
      <c r="C53" s="8" t="s">
        <v>253</v>
      </c>
      <c r="D53" s="7" t="s">
        <v>254</v>
      </c>
      <c r="E53" s="8" t="s">
        <v>198</v>
      </c>
      <c r="F53" s="8" t="s">
        <v>255</v>
      </c>
      <c r="G53" s="8" t="s">
        <v>256</v>
      </c>
      <c r="H53" s="9" t="s">
        <v>32</v>
      </c>
    </row>
    <row r="54" customFormat="false" ht="29.85" hidden="false" customHeight="false" outlineLevel="0" collapsed="false">
      <c r="A54" s="7" t="s">
        <v>257</v>
      </c>
      <c r="B54" s="7" t="s">
        <v>195</v>
      </c>
      <c r="C54" s="8" t="s">
        <v>258</v>
      </c>
      <c r="D54" s="7" t="s">
        <v>259</v>
      </c>
      <c r="E54" s="8" t="s">
        <v>198</v>
      </c>
      <c r="F54" s="8" t="s">
        <v>260</v>
      </c>
      <c r="G54" s="8" t="s">
        <v>261</v>
      </c>
      <c r="H54" s="9" t="s">
        <v>32</v>
      </c>
    </row>
    <row r="55" customFormat="false" ht="29.85" hidden="false" customHeight="false" outlineLevel="0" collapsed="false">
      <c r="A55" s="7" t="s">
        <v>262</v>
      </c>
      <c r="B55" s="7" t="s">
        <v>195</v>
      </c>
      <c r="C55" s="8" t="s">
        <v>258</v>
      </c>
      <c r="D55" s="7" t="s">
        <v>263</v>
      </c>
      <c r="E55" s="8" t="s">
        <v>198</v>
      </c>
      <c r="F55" s="8" t="s">
        <v>264</v>
      </c>
      <c r="G55" s="8" t="s">
        <v>265</v>
      </c>
      <c r="H55" s="9" t="s">
        <v>32</v>
      </c>
    </row>
    <row r="56" customFormat="false" ht="29.85" hidden="false" customHeight="false" outlineLevel="0" collapsed="false">
      <c r="A56" s="7" t="s">
        <v>266</v>
      </c>
      <c r="B56" s="7" t="s">
        <v>195</v>
      </c>
      <c r="C56" s="8" t="s">
        <v>258</v>
      </c>
      <c r="D56" s="7" t="s">
        <v>267</v>
      </c>
      <c r="E56" s="8" t="s">
        <v>198</v>
      </c>
      <c r="F56" s="8" t="s">
        <v>268</v>
      </c>
      <c r="G56" s="8" t="s">
        <v>269</v>
      </c>
      <c r="H56" s="9" t="s">
        <v>32</v>
      </c>
    </row>
    <row r="57" customFormat="false" ht="29.85" hidden="false" customHeight="false" outlineLevel="0" collapsed="false">
      <c r="A57" s="7" t="s">
        <v>270</v>
      </c>
      <c r="B57" s="7" t="s">
        <v>195</v>
      </c>
      <c r="C57" s="8" t="s">
        <v>271</v>
      </c>
      <c r="D57" s="7" t="s">
        <v>272</v>
      </c>
      <c r="E57" s="8" t="s">
        <v>198</v>
      </c>
      <c r="F57" s="8" t="s">
        <v>273</v>
      </c>
      <c r="G57" s="8" t="s">
        <v>237</v>
      </c>
      <c r="H57" s="9" t="s">
        <v>32</v>
      </c>
    </row>
    <row r="58" customFormat="false" ht="29.85" hidden="false" customHeight="false" outlineLevel="0" collapsed="false">
      <c r="A58" s="7" t="s">
        <v>274</v>
      </c>
      <c r="B58" s="7" t="s">
        <v>195</v>
      </c>
      <c r="C58" s="8" t="s">
        <v>275</v>
      </c>
      <c r="D58" s="7" t="s">
        <v>276</v>
      </c>
      <c r="E58" s="8" t="s">
        <v>198</v>
      </c>
      <c r="F58" s="8" t="s">
        <v>277</v>
      </c>
      <c r="G58" s="8" t="s">
        <v>278</v>
      </c>
      <c r="H58" s="9" t="s">
        <v>32</v>
      </c>
    </row>
    <row r="59" customFormat="false" ht="29.85" hidden="false" customHeight="false" outlineLevel="0" collapsed="false">
      <c r="A59" s="7" t="s">
        <v>279</v>
      </c>
      <c r="B59" s="7" t="s">
        <v>195</v>
      </c>
      <c r="C59" s="8" t="s">
        <v>258</v>
      </c>
      <c r="D59" s="7" t="s">
        <v>280</v>
      </c>
      <c r="E59" s="8" t="s">
        <v>198</v>
      </c>
      <c r="F59" s="8" t="s">
        <v>281</v>
      </c>
      <c r="G59" s="8" t="s">
        <v>282</v>
      </c>
      <c r="H59" s="9" t="s">
        <v>32</v>
      </c>
    </row>
    <row r="60" customFormat="false" ht="29.85" hidden="false" customHeight="false" outlineLevel="0" collapsed="false">
      <c r="A60" s="7" t="s">
        <v>283</v>
      </c>
      <c r="B60" s="7" t="s">
        <v>195</v>
      </c>
      <c r="C60" s="8" t="s">
        <v>284</v>
      </c>
      <c r="D60" s="7" t="s">
        <v>285</v>
      </c>
      <c r="E60" s="8" t="s">
        <v>198</v>
      </c>
      <c r="F60" s="8" t="s">
        <v>286</v>
      </c>
      <c r="G60" s="8" t="s">
        <v>287</v>
      </c>
      <c r="H60" s="9" t="s">
        <v>32</v>
      </c>
    </row>
    <row r="61" customFormat="false" ht="29.85" hidden="false" customHeight="false" outlineLevel="0" collapsed="false">
      <c r="A61" s="7" t="s">
        <v>288</v>
      </c>
      <c r="B61" s="7" t="s">
        <v>195</v>
      </c>
      <c r="C61" s="8" t="s">
        <v>284</v>
      </c>
      <c r="D61" s="7" t="s">
        <v>289</v>
      </c>
      <c r="E61" s="8" t="s">
        <v>198</v>
      </c>
      <c r="F61" s="8" t="s">
        <v>217</v>
      </c>
      <c r="G61" s="8" t="s">
        <v>218</v>
      </c>
      <c r="H61" s="9" t="s">
        <v>32</v>
      </c>
    </row>
    <row r="62" customFormat="false" ht="29.85" hidden="false" customHeight="false" outlineLevel="0" collapsed="false">
      <c r="A62" s="7" t="s">
        <v>290</v>
      </c>
      <c r="B62" s="7" t="s">
        <v>195</v>
      </c>
      <c r="C62" s="8" t="s">
        <v>284</v>
      </c>
      <c r="D62" s="7" t="s">
        <v>291</v>
      </c>
      <c r="E62" s="8" t="s">
        <v>198</v>
      </c>
      <c r="F62" s="8" t="s">
        <v>273</v>
      </c>
      <c r="G62" s="8" t="s">
        <v>237</v>
      </c>
      <c r="H62" s="9" t="s">
        <v>32</v>
      </c>
    </row>
    <row r="63" customFormat="false" ht="29.85" hidden="false" customHeight="false" outlineLevel="0" collapsed="false">
      <c r="A63" s="7" t="s">
        <v>292</v>
      </c>
      <c r="B63" s="7" t="s">
        <v>195</v>
      </c>
      <c r="C63" s="8" t="s">
        <v>284</v>
      </c>
      <c r="D63" s="7" t="s">
        <v>293</v>
      </c>
      <c r="E63" s="8" t="s">
        <v>198</v>
      </c>
      <c r="F63" s="8" t="s">
        <v>207</v>
      </c>
      <c r="G63" s="8" t="s">
        <v>208</v>
      </c>
      <c r="H63" s="9" t="s">
        <v>32</v>
      </c>
    </row>
    <row r="64" customFormat="false" ht="29.85" hidden="false" customHeight="false" outlineLevel="0" collapsed="false">
      <c r="A64" s="7" t="s">
        <v>294</v>
      </c>
      <c r="B64" s="7" t="s">
        <v>195</v>
      </c>
      <c r="C64" s="8" t="s">
        <v>284</v>
      </c>
      <c r="D64" s="7" t="s">
        <v>295</v>
      </c>
      <c r="E64" s="8" t="s">
        <v>198</v>
      </c>
      <c r="F64" s="8" t="s">
        <v>296</v>
      </c>
      <c r="G64" s="8" t="s">
        <v>297</v>
      </c>
      <c r="H64" s="9" t="s">
        <v>32</v>
      </c>
    </row>
    <row r="65" customFormat="false" ht="29.85" hidden="false" customHeight="false" outlineLevel="0" collapsed="false">
      <c r="A65" s="7" t="s">
        <v>298</v>
      </c>
      <c r="B65" s="7" t="s">
        <v>195</v>
      </c>
      <c r="C65" s="8" t="s">
        <v>284</v>
      </c>
      <c r="D65" s="7" t="s">
        <v>299</v>
      </c>
      <c r="E65" s="8" t="s">
        <v>198</v>
      </c>
      <c r="F65" s="8" t="s">
        <v>260</v>
      </c>
      <c r="G65" s="8" t="s">
        <v>261</v>
      </c>
      <c r="H65" s="9" t="s">
        <v>32</v>
      </c>
    </row>
    <row r="66" customFormat="false" ht="29.85" hidden="false" customHeight="false" outlineLevel="0" collapsed="false">
      <c r="A66" s="7" t="s">
        <v>300</v>
      </c>
      <c r="B66" s="7" t="s">
        <v>195</v>
      </c>
      <c r="C66" s="8" t="s">
        <v>284</v>
      </c>
      <c r="D66" s="7" t="s">
        <v>301</v>
      </c>
      <c r="E66" s="8" t="s">
        <v>198</v>
      </c>
      <c r="F66" s="8" t="s">
        <v>302</v>
      </c>
      <c r="G66" s="8" t="s">
        <v>303</v>
      </c>
      <c r="H66" s="9" t="s">
        <v>32</v>
      </c>
    </row>
    <row r="67" customFormat="false" ht="29.85" hidden="false" customHeight="false" outlineLevel="0" collapsed="false">
      <c r="A67" s="7" t="s">
        <v>304</v>
      </c>
      <c r="B67" s="7" t="s">
        <v>195</v>
      </c>
      <c r="C67" s="8" t="s">
        <v>284</v>
      </c>
      <c r="D67" s="7" t="s">
        <v>305</v>
      </c>
      <c r="E67" s="8" t="s">
        <v>198</v>
      </c>
      <c r="F67" s="8" t="s">
        <v>306</v>
      </c>
      <c r="G67" s="8" t="s">
        <v>307</v>
      </c>
      <c r="H67" s="9" t="s">
        <v>32</v>
      </c>
    </row>
    <row r="68" customFormat="false" ht="29.85" hidden="false" customHeight="false" outlineLevel="0" collapsed="false">
      <c r="A68" s="7" t="s">
        <v>308</v>
      </c>
      <c r="B68" s="7" t="s">
        <v>195</v>
      </c>
      <c r="C68" s="8" t="s">
        <v>309</v>
      </c>
      <c r="D68" s="7" t="s">
        <v>310</v>
      </c>
      <c r="E68" s="8" t="s">
        <v>198</v>
      </c>
      <c r="F68" s="8" t="s">
        <v>273</v>
      </c>
      <c r="G68" s="8" t="s">
        <v>237</v>
      </c>
      <c r="H68" s="9" t="s">
        <v>32</v>
      </c>
    </row>
    <row r="69" customFormat="false" ht="29.85" hidden="false" customHeight="false" outlineLevel="0" collapsed="false">
      <c r="A69" s="7" t="s">
        <v>311</v>
      </c>
      <c r="B69" s="7" t="s">
        <v>195</v>
      </c>
      <c r="C69" s="8" t="s">
        <v>309</v>
      </c>
      <c r="D69" s="7" t="s">
        <v>312</v>
      </c>
      <c r="E69" s="8" t="s">
        <v>198</v>
      </c>
      <c r="F69" s="8" t="s">
        <v>286</v>
      </c>
      <c r="G69" s="8" t="s">
        <v>287</v>
      </c>
      <c r="H69" s="9" t="s">
        <v>32</v>
      </c>
    </row>
    <row r="70" customFormat="false" ht="29.85" hidden="false" customHeight="false" outlineLevel="0" collapsed="false">
      <c r="A70" s="7" t="s">
        <v>313</v>
      </c>
      <c r="B70" s="7" t="s">
        <v>195</v>
      </c>
      <c r="C70" s="8" t="s">
        <v>309</v>
      </c>
      <c r="D70" s="7" t="s">
        <v>314</v>
      </c>
      <c r="E70" s="8" t="s">
        <v>198</v>
      </c>
      <c r="F70" s="8" t="s">
        <v>315</v>
      </c>
      <c r="G70" s="8" t="s">
        <v>316</v>
      </c>
      <c r="H70" s="9" t="s">
        <v>32</v>
      </c>
    </row>
    <row r="71" customFormat="false" ht="29.85" hidden="false" customHeight="false" outlineLevel="0" collapsed="false">
      <c r="A71" s="7" t="s">
        <v>317</v>
      </c>
      <c r="B71" s="7" t="s">
        <v>195</v>
      </c>
      <c r="C71" s="8" t="s">
        <v>318</v>
      </c>
      <c r="D71" s="7" t="s">
        <v>319</v>
      </c>
      <c r="E71" s="8" t="s">
        <v>198</v>
      </c>
      <c r="F71" s="8" t="s">
        <v>320</v>
      </c>
      <c r="G71" s="8" t="s">
        <v>321</v>
      </c>
      <c r="H71" s="9" t="s">
        <v>32</v>
      </c>
    </row>
    <row r="72" customFormat="false" ht="29.85" hidden="false" customHeight="false" outlineLevel="0" collapsed="false">
      <c r="A72" s="7" t="s">
        <v>322</v>
      </c>
      <c r="B72" s="7" t="s">
        <v>195</v>
      </c>
      <c r="C72" s="8" t="s">
        <v>323</v>
      </c>
      <c r="D72" s="7" t="s">
        <v>324</v>
      </c>
      <c r="E72" s="8" t="s">
        <v>198</v>
      </c>
      <c r="F72" s="8" t="s">
        <v>277</v>
      </c>
      <c r="G72" s="8" t="s">
        <v>278</v>
      </c>
      <c r="H72" s="9" t="s">
        <v>32</v>
      </c>
    </row>
    <row r="73" customFormat="false" ht="29.85" hidden="false" customHeight="false" outlineLevel="0" collapsed="false">
      <c r="A73" s="7" t="s">
        <v>325</v>
      </c>
      <c r="B73" s="7" t="s">
        <v>195</v>
      </c>
      <c r="C73" s="8" t="s">
        <v>323</v>
      </c>
      <c r="D73" s="7" t="s">
        <v>326</v>
      </c>
      <c r="E73" s="8" t="s">
        <v>198</v>
      </c>
      <c r="F73" s="8" t="s">
        <v>327</v>
      </c>
      <c r="G73" s="8" t="s">
        <v>328</v>
      </c>
      <c r="H73" s="10" t="s">
        <v>62</v>
      </c>
    </row>
    <row r="74" customFormat="false" ht="29.85" hidden="false" customHeight="false" outlineLevel="0" collapsed="false">
      <c r="A74" s="7" t="s">
        <v>329</v>
      </c>
      <c r="B74" s="7" t="s">
        <v>195</v>
      </c>
      <c r="C74" s="8" t="s">
        <v>323</v>
      </c>
      <c r="D74" s="7" t="s">
        <v>330</v>
      </c>
      <c r="E74" s="8" t="s">
        <v>198</v>
      </c>
      <c r="F74" s="8" t="s">
        <v>331</v>
      </c>
      <c r="G74" s="8" t="s">
        <v>332</v>
      </c>
      <c r="H74" s="9" t="s">
        <v>32</v>
      </c>
    </row>
    <row r="75" customFormat="false" ht="29.85" hidden="false" customHeight="false" outlineLevel="0" collapsed="false">
      <c r="A75" s="7" t="s">
        <v>333</v>
      </c>
      <c r="B75" s="7" t="s">
        <v>195</v>
      </c>
      <c r="C75" s="8" t="s">
        <v>334</v>
      </c>
      <c r="D75" s="7" t="s">
        <v>335</v>
      </c>
      <c r="E75" s="8" t="s">
        <v>198</v>
      </c>
      <c r="F75" s="8" t="s">
        <v>336</v>
      </c>
      <c r="G75" s="8" t="s">
        <v>337</v>
      </c>
      <c r="H75" s="9" t="s">
        <v>32</v>
      </c>
    </row>
    <row r="76" customFormat="false" ht="29.85" hidden="false" customHeight="false" outlineLevel="0" collapsed="false">
      <c r="A76" s="7" t="s">
        <v>338</v>
      </c>
      <c r="B76" s="7" t="s">
        <v>195</v>
      </c>
      <c r="C76" s="8" t="s">
        <v>339</v>
      </c>
      <c r="D76" s="7" t="s">
        <v>340</v>
      </c>
      <c r="E76" s="8" t="s">
        <v>198</v>
      </c>
      <c r="F76" s="8" t="s">
        <v>341</v>
      </c>
      <c r="G76" s="8" t="s">
        <v>342</v>
      </c>
      <c r="H76" s="9" t="s">
        <v>32</v>
      </c>
    </row>
    <row r="77" customFormat="false" ht="29.85" hidden="false" customHeight="false" outlineLevel="0" collapsed="false">
      <c r="A77" s="7" t="s">
        <v>343</v>
      </c>
      <c r="B77" s="7" t="s">
        <v>195</v>
      </c>
      <c r="C77" s="8" t="s">
        <v>344</v>
      </c>
      <c r="D77" s="7" t="s">
        <v>345</v>
      </c>
      <c r="E77" s="8" t="s">
        <v>198</v>
      </c>
      <c r="F77" s="8" t="s">
        <v>346</v>
      </c>
      <c r="G77" s="8" t="s">
        <v>245</v>
      </c>
      <c r="H77" s="9" t="s">
        <v>32</v>
      </c>
    </row>
    <row r="78" customFormat="false" ht="29.85" hidden="false" customHeight="false" outlineLevel="0" collapsed="false">
      <c r="A78" s="7" t="s">
        <v>347</v>
      </c>
      <c r="B78" s="7" t="s">
        <v>195</v>
      </c>
      <c r="C78" s="8" t="s">
        <v>348</v>
      </c>
      <c r="D78" s="7" t="s">
        <v>349</v>
      </c>
      <c r="E78" s="8" t="s">
        <v>198</v>
      </c>
      <c r="F78" s="8" t="s">
        <v>350</v>
      </c>
      <c r="G78" s="8" t="s">
        <v>351</v>
      </c>
      <c r="H78" s="9" t="s">
        <v>32</v>
      </c>
    </row>
    <row r="79" customFormat="false" ht="29.85" hidden="false" customHeight="false" outlineLevel="0" collapsed="false">
      <c r="A79" s="7" t="s">
        <v>352</v>
      </c>
      <c r="B79" s="7" t="s">
        <v>195</v>
      </c>
      <c r="C79" s="8" t="s">
        <v>353</v>
      </c>
      <c r="D79" s="7" t="s">
        <v>354</v>
      </c>
      <c r="E79" s="8" t="s">
        <v>198</v>
      </c>
      <c r="F79" s="8" t="s">
        <v>355</v>
      </c>
      <c r="G79" s="8" t="s">
        <v>356</v>
      </c>
      <c r="H79" s="10" t="s">
        <v>62</v>
      </c>
    </row>
    <row r="80" customFormat="false" ht="29.85" hidden="false" customHeight="false" outlineLevel="0" collapsed="false">
      <c r="A80" s="7" t="s">
        <v>357</v>
      </c>
      <c r="B80" s="7" t="s">
        <v>195</v>
      </c>
      <c r="C80" s="8" t="s">
        <v>358</v>
      </c>
      <c r="D80" s="7" t="s">
        <v>359</v>
      </c>
      <c r="E80" s="8" t="s">
        <v>198</v>
      </c>
      <c r="F80" s="8" t="s">
        <v>273</v>
      </c>
      <c r="G80" s="8" t="s">
        <v>360</v>
      </c>
      <c r="H80" s="10" t="s">
        <v>62</v>
      </c>
    </row>
    <row r="81" customFormat="false" ht="29.85" hidden="false" customHeight="false" outlineLevel="0" collapsed="false">
      <c r="A81" s="7" t="s">
        <v>361</v>
      </c>
      <c r="B81" s="7" t="s">
        <v>195</v>
      </c>
      <c r="C81" s="8" t="s">
        <v>358</v>
      </c>
      <c r="D81" s="7" t="s">
        <v>362</v>
      </c>
      <c r="E81" s="8" t="s">
        <v>198</v>
      </c>
      <c r="F81" s="8" t="s">
        <v>363</v>
      </c>
      <c r="G81" s="8" t="s">
        <v>364</v>
      </c>
      <c r="H81" s="10" t="s">
        <v>62</v>
      </c>
    </row>
    <row r="82" customFormat="false" ht="29.85" hidden="false" customHeight="false" outlineLevel="0" collapsed="false">
      <c r="A82" s="7" t="s">
        <v>365</v>
      </c>
      <c r="B82" s="7" t="s">
        <v>195</v>
      </c>
      <c r="C82" s="8" t="s">
        <v>358</v>
      </c>
      <c r="D82" s="7" t="s">
        <v>366</v>
      </c>
      <c r="E82" s="8" t="s">
        <v>198</v>
      </c>
      <c r="F82" s="8" t="s">
        <v>367</v>
      </c>
      <c r="G82" s="8" t="s">
        <v>368</v>
      </c>
      <c r="H82" s="10" t="s">
        <v>62</v>
      </c>
    </row>
    <row r="83" customFormat="false" ht="29.85" hidden="false" customHeight="false" outlineLevel="0" collapsed="false">
      <c r="A83" s="7" t="s">
        <v>369</v>
      </c>
      <c r="B83" s="7" t="s">
        <v>195</v>
      </c>
      <c r="C83" s="8" t="s">
        <v>358</v>
      </c>
      <c r="D83" s="7" t="s">
        <v>370</v>
      </c>
      <c r="E83" s="8" t="s">
        <v>198</v>
      </c>
      <c r="F83" s="8" t="s">
        <v>302</v>
      </c>
      <c r="G83" s="8" t="s">
        <v>303</v>
      </c>
      <c r="H83" s="9" t="s">
        <v>32</v>
      </c>
    </row>
    <row r="84" customFormat="false" ht="29.85" hidden="false" customHeight="false" outlineLevel="0" collapsed="false">
      <c r="A84" s="7" t="s">
        <v>371</v>
      </c>
      <c r="B84" s="7" t="s">
        <v>195</v>
      </c>
      <c r="C84" s="8" t="s">
        <v>358</v>
      </c>
      <c r="D84" s="7" t="s">
        <v>372</v>
      </c>
      <c r="E84" s="8" t="s">
        <v>198</v>
      </c>
      <c r="F84" s="8" t="s">
        <v>260</v>
      </c>
      <c r="G84" s="8" t="s">
        <v>373</v>
      </c>
      <c r="H84" s="10" t="s">
        <v>62</v>
      </c>
    </row>
    <row r="85" customFormat="false" ht="29.85" hidden="false" customHeight="false" outlineLevel="0" collapsed="false">
      <c r="A85" s="7" t="s">
        <v>374</v>
      </c>
      <c r="B85" s="7" t="s">
        <v>195</v>
      </c>
      <c r="C85" s="8" t="s">
        <v>358</v>
      </c>
      <c r="D85" s="7" t="s">
        <v>375</v>
      </c>
      <c r="E85" s="8" t="s">
        <v>198</v>
      </c>
      <c r="F85" s="8" t="s">
        <v>207</v>
      </c>
      <c r="G85" s="8" t="s">
        <v>208</v>
      </c>
      <c r="H85" s="9" t="s">
        <v>32</v>
      </c>
    </row>
    <row r="86" customFormat="false" ht="29.85" hidden="false" customHeight="false" outlineLevel="0" collapsed="false">
      <c r="A86" s="7" t="s">
        <v>376</v>
      </c>
      <c r="B86" s="7" t="s">
        <v>195</v>
      </c>
      <c r="C86" s="8" t="s">
        <v>358</v>
      </c>
      <c r="D86" s="7" t="s">
        <v>377</v>
      </c>
      <c r="E86" s="8" t="s">
        <v>198</v>
      </c>
      <c r="F86" s="8" t="s">
        <v>350</v>
      </c>
      <c r="G86" s="8" t="s">
        <v>378</v>
      </c>
      <c r="H86" s="10" t="s">
        <v>62</v>
      </c>
    </row>
    <row r="87" customFormat="false" ht="29.85" hidden="false" customHeight="false" outlineLevel="0" collapsed="false">
      <c r="A87" s="7" t="s">
        <v>379</v>
      </c>
      <c r="B87" s="7" t="s">
        <v>195</v>
      </c>
      <c r="C87" s="8" t="s">
        <v>358</v>
      </c>
      <c r="D87" s="7" t="s">
        <v>380</v>
      </c>
      <c r="E87" s="8" t="s">
        <v>198</v>
      </c>
      <c r="F87" s="8" t="s">
        <v>381</v>
      </c>
      <c r="G87" s="8" t="s">
        <v>382</v>
      </c>
      <c r="H87" s="10" t="s">
        <v>62</v>
      </c>
    </row>
    <row r="88" customFormat="false" ht="29.85" hidden="false" customHeight="false" outlineLevel="0" collapsed="false">
      <c r="A88" s="7" t="s">
        <v>383</v>
      </c>
      <c r="B88" s="7" t="s">
        <v>195</v>
      </c>
      <c r="C88" s="8" t="s">
        <v>358</v>
      </c>
      <c r="D88" s="7" t="s">
        <v>384</v>
      </c>
      <c r="E88" s="8" t="s">
        <v>198</v>
      </c>
      <c r="F88" s="8" t="s">
        <v>217</v>
      </c>
      <c r="G88" s="8" t="s">
        <v>218</v>
      </c>
      <c r="H88" s="9" t="s">
        <v>32</v>
      </c>
    </row>
    <row r="89" customFormat="false" ht="29.85" hidden="false" customHeight="false" outlineLevel="0" collapsed="false">
      <c r="A89" s="7" t="s">
        <v>385</v>
      </c>
      <c r="B89" s="7" t="s">
        <v>195</v>
      </c>
      <c r="C89" s="8" t="s">
        <v>358</v>
      </c>
      <c r="D89" s="7" t="s">
        <v>386</v>
      </c>
      <c r="E89" s="8" t="s">
        <v>198</v>
      </c>
      <c r="F89" s="8" t="s">
        <v>387</v>
      </c>
      <c r="G89" s="8" t="s">
        <v>388</v>
      </c>
      <c r="H89" s="10" t="s">
        <v>62</v>
      </c>
    </row>
    <row r="90" customFormat="false" ht="29.85" hidden="false" customHeight="false" outlineLevel="0" collapsed="false">
      <c r="A90" s="7" t="s">
        <v>389</v>
      </c>
      <c r="B90" s="7" t="s">
        <v>195</v>
      </c>
      <c r="C90" s="8" t="s">
        <v>358</v>
      </c>
      <c r="D90" s="7" t="s">
        <v>390</v>
      </c>
      <c r="E90" s="8" t="s">
        <v>198</v>
      </c>
      <c r="F90" s="8" t="s">
        <v>391</v>
      </c>
      <c r="G90" s="8" t="s">
        <v>392</v>
      </c>
      <c r="H90" s="10" t="s">
        <v>62</v>
      </c>
    </row>
    <row r="91" customFormat="false" ht="29.85" hidden="false" customHeight="false" outlineLevel="0" collapsed="false">
      <c r="A91" s="7" t="s">
        <v>393</v>
      </c>
      <c r="B91" s="7" t="s">
        <v>195</v>
      </c>
      <c r="C91" s="8" t="s">
        <v>358</v>
      </c>
      <c r="D91" s="7" t="s">
        <v>394</v>
      </c>
      <c r="E91" s="8" t="s">
        <v>198</v>
      </c>
      <c r="F91" s="8" t="s">
        <v>395</v>
      </c>
      <c r="G91" s="8" t="s">
        <v>396</v>
      </c>
      <c r="H91" s="9" t="s">
        <v>32</v>
      </c>
    </row>
    <row r="92" customFormat="false" ht="44" hidden="false" customHeight="false" outlineLevel="0" collapsed="false">
      <c r="A92" s="7" t="s">
        <v>397</v>
      </c>
      <c r="B92" s="7" t="s">
        <v>195</v>
      </c>
      <c r="C92" s="8" t="s">
        <v>358</v>
      </c>
      <c r="D92" s="7" t="s">
        <v>398</v>
      </c>
      <c r="E92" s="8" t="s">
        <v>198</v>
      </c>
      <c r="F92" s="8" t="s">
        <v>399</v>
      </c>
      <c r="G92" s="8" t="s">
        <v>400</v>
      </c>
      <c r="H92" s="10" t="s">
        <v>62</v>
      </c>
    </row>
    <row r="93" customFormat="false" ht="44" hidden="false" customHeight="false" outlineLevel="0" collapsed="false">
      <c r="A93" s="7" t="s">
        <v>401</v>
      </c>
      <c r="B93" s="7" t="s">
        <v>195</v>
      </c>
      <c r="C93" s="8" t="s">
        <v>358</v>
      </c>
      <c r="D93" s="7" t="s">
        <v>402</v>
      </c>
      <c r="E93" s="8" t="s">
        <v>198</v>
      </c>
      <c r="F93" s="8" t="s">
        <v>403</v>
      </c>
      <c r="G93" s="8" t="s">
        <v>404</v>
      </c>
      <c r="H93" s="10" t="s">
        <v>62</v>
      </c>
    </row>
    <row r="94" customFormat="false" ht="29.85" hidden="false" customHeight="false" outlineLevel="0" collapsed="false">
      <c r="A94" s="7" t="s">
        <v>405</v>
      </c>
      <c r="B94" s="7" t="s">
        <v>195</v>
      </c>
      <c r="C94" s="8" t="s">
        <v>406</v>
      </c>
      <c r="D94" s="7" t="s">
        <v>407</v>
      </c>
      <c r="E94" s="8" t="s">
        <v>198</v>
      </c>
      <c r="F94" s="8" t="s">
        <v>408</v>
      </c>
      <c r="G94" s="8" t="s">
        <v>409</v>
      </c>
      <c r="H94" s="9" t="s">
        <v>32</v>
      </c>
    </row>
    <row r="95" customFormat="false" ht="29.85" hidden="false" customHeight="false" outlineLevel="0" collapsed="false">
      <c r="A95" s="7" t="s">
        <v>410</v>
      </c>
      <c r="B95" s="7" t="s">
        <v>195</v>
      </c>
      <c r="C95" s="8" t="s">
        <v>406</v>
      </c>
      <c r="D95" s="7" t="s">
        <v>411</v>
      </c>
      <c r="E95" s="8" t="s">
        <v>198</v>
      </c>
      <c r="F95" s="8" t="s">
        <v>412</v>
      </c>
      <c r="G95" s="8" t="s">
        <v>342</v>
      </c>
      <c r="H95" s="9" t="s">
        <v>32</v>
      </c>
    </row>
    <row r="96" customFormat="false" ht="29.85" hidden="false" customHeight="false" outlineLevel="0" collapsed="false">
      <c r="A96" s="7" t="s">
        <v>413</v>
      </c>
      <c r="B96" s="7" t="s">
        <v>195</v>
      </c>
      <c r="C96" s="8" t="s">
        <v>406</v>
      </c>
      <c r="D96" s="7" t="s">
        <v>414</v>
      </c>
      <c r="E96" s="8" t="s">
        <v>198</v>
      </c>
      <c r="F96" s="8" t="s">
        <v>286</v>
      </c>
      <c r="G96" s="8" t="s">
        <v>287</v>
      </c>
      <c r="H96" s="9" t="s">
        <v>32</v>
      </c>
    </row>
    <row r="97" customFormat="false" ht="29.85" hidden="false" customHeight="false" outlineLevel="0" collapsed="false">
      <c r="A97" s="7" t="s">
        <v>415</v>
      </c>
      <c r="B97" s="7" t="s">
        <v>195</v>
      </c>
      <c r="C97" s="8" t="s">
        <v>406</v>
      </c>
      <c r="D97" s="7" t="s">
        <v>416</v>
      </c>
      <c r="E97" s="8" t="s">
        <v>198</v>
      </c>
      <c r="F97" s="8" t="s">
        <v>217</v>
      </c>
      <c r="G97" s="8" t="s">
        <v>218</v>
      </c>
      <c r="H97" s="9" t="s">
        <v>32</v>
      </c>
    </row>
    <row r="98" customFormat="false" ht="29.85" hidden="false" customHeight="false" outlineLevel="0" collapsed="false">
      <c r="A98" s="7" t="s">
        <v>417</v>
      </c>
      <c r="B98" s="7" t="s">
        <v>195</v>
      </c>
      <c r="C98" s="8" t="s">
        <v>406</v>
      </c>
      <c r="D98" s="7" t="s">
        <v>418</v>
      </c>
      <c r="E98" s="8" t="s">
        <v>198</v>
      </c>
      <c r="F98" s="8" t="s">
        <v>315</v>
      </c>
      <c r="G98" s="8" t="s">
        <v>316</v>
      </c>
      <c r="H98" s="9" t="s">
        <v>32</v>
      </c>
    </row>
    <row r="99" customFormat="false" ht="29.85" hidden="false" customHeight="false" outlineLevel="0" collapsed="false">
      <c r="A99" s="7" t="s">
        <v>419</v>
      </c>
      <c r="B99" s="7" t="s">
        <v>195</v>
      </c>
      <c r="C99" s="8" t="s">
        <v>406</v>
      </c>
      <c r="D99" s="7" t="s">
        <v>420</v>
      </c>
      <c r="E99" s="8" t="s">
        <v>198</v>
      </c>
      <c r="F99" s="8" t="s">
        <v>268</v>
      </c>
      <c r="G99" s="8" t="s">
        <v>421</v>
      </c>
      <c r="H99" s="10" t="s">
        <v>62</v>
      </c>
    </row>
    <row r="100" customFormat="false" ht="29.85" hidden="false" customHeight="false" outlineLevel="0" collapsed="false">
      <c r="A100" s="7" t="s">
        <v>422</v>
      </c>
      <c r="B100" s="7" t="s">
        <v>195</v>
      </c>
      <c r="C100" s="8" t="s">
        <v>423</v>
      </c>
      <c r="D100" s="7" t="s">
        <v>424</v>
      </c>
      <c r="E100" s="8" t="s">
        <v>198</v>
      </c>
      <c r="F100" s="8" t="s">
        <v>222</v>
      </c>
      <c r="G100" s="8" t="s">
        <v>223</v>
      </c>
      <c r="H100" s="9" t="s">
        <v>32</v>
      </c>
    </row>
    <row r="101" customFormat="false" ht="29.85" hidden="false" customHeight="false" outlineLevel="0" collapsed="false">
      <c r="A101" s="7" t="s">
        <v>425</v>
      </c>
      <c r="B101" s="7" t="s">
        <v>195</v>
      </c>
      <c r="C101" s="8" t="s">
        <v>423</v>
      </c>
      <c r="D101" s="7" t="s">
        <v>426</v>
      </c>
      <c r="E101" s="8" t="s">
        <v>198</v>
      </c>
      <c r="F101" s="8" t="s">
        <v>427</v>
      </c>
      <c r="G101" s="8" t="s">
        <v>428</v>
      </c>
      <c r="H101" s="9" t="s">
        <v>32</v>
      </c>
    </row>
    <row r="102" customFormat="false" ht="29.85" hidden="false" customHeight="false" outlineLevel="0" collapsed="false">
      <c r="A102" s="7" t="s">
        <v>429</v>
      </c>
      <c r="B102" s="7" t="s">
        <v>195</v>
      </c>
      <c r="C102" s="8" t="s">
        <v>423</v>
      </c>
      <c r="D102" s="7" t="s">
        <v>430</v>
      </c>
      <c r="E102" s="8" t="s">
        <v>198</v>
      </c>
      <c r="F102" s="8" t="s">
        <v>431</v>
      </c>
      <c r="G102" s="8" t="s">
        <v>432</v>
      </c>
      <c r="H102" s="9" t="s">
        <v>32</v>
      </c>
    </row>
    <row r="103" customFormat="false" ht="29.85" hidden="false" customHeight="false" outlineLevel="0" collapsed="false">
      <c r="A103" s="7" t="s">
        <v>433</v>
      </c>
      <c r="B103" s="7" t="s">
        <v>195</v>
      </c>
      <c r="C103" s="8" t="s">
        <v>423</v>
      </c>
      <c r="D103" s="7" t="s">
        <v>434</v>
      </c>
      <c r="E103" s="8" t="s">
        <v>198</v>
      </c>
      <c r="F103" s="8" t="s">
        <v>435</v>
      </c>
      <c r="G103" s="8" t="s">
        <v>436</v>
      </c>
      <c r="H103" s="10" t="s">
        <v>62</v>
      </c>
    </row>
    <row r="104" customFormat="false" ht="29.85" hidden="false" customHeight="false" outlineLevel="0" collapsed="false">
      <c r="A104" s="7" t="s">
        <v>437</v>
      </c>
      <c r="B104" s="7" t="s">
        <v>195</v>
      </c>
      <c r="C104" s="8" t="s">
        <v>423</v>
      </c>
      <c r="D104" s="7" t="s">
        <v>438</v>
      </c>
      <c r="E104" s="8" t="s">
        <v>198</v>
      </c>
      <c r="F104" s="8" t="s">
        <v>439</v>
      </c>
      <c r="G104" s="8" t="s">
        <v>328</v>
      </c>
      <c r="H104" s="10" t="s">
        <v>62</v>
      </c>
    </row>
    <row r="105" customFormat="false" ht="29.85" hidden="false" customHeight="false" outlineLevel="0" collapsed="false">
      <c r="A105" s="7" t="s">
        <v>440</v>
      </c>
      <c r="B105" s="7" t="s">
        <v>195</v>
      </c>
      <c r="C105" s="8" t="s">
        <v>423</v>
      </c>
      <c r="D105" s="7" t="s">
        <v>441</v>
      </c>
      <c r="E105" s="8" t="s">
        <v>198</v>
      </c>
      <c r="F105" s="8" t="s">
        <v>442</v>
      </c>
      <c r="G105" s="8" t="s">
        <v>443</v>
      </c>
      <c r="H105" s="10" t="s">
        <v>62</v>
      </c>
    </row>
    <row r="106" customFormat="false" ht="29.85" hidden="false" customHeight="false" outlineLevel="0" collapsed="false">
      <c r="A106" s="7" t="s">
        <v>444</v>
      </c>
      <c r="B106" s="7" t="s">
        <v>195</v>
      </c>
      <c r="C106" s="8" t="s">
        <v>445</v>
      </c>
      <c r="D106" s="7" t="s">
        <v>446</v>
      </c>
      <c r="E106" s="8" t="s">
        <v>198</v>
      </c>
      <c r="F106" s="8" t="s">
        <v>447</v>
      </c>
      <c r="G106" s="8" t="s">
        <v>448</v>
      </c>
      <c r="H106" s="9" t="s">
        <v>32</v>
      </c>
    </row>
    <row r="107" customFormat="false" ht="29.85" hidden="false" customHeight="false" outlineLevel="0" collapsed="false">
      <c r="A107" s="7" t="s">
        <v>449</v>
      </c>
      <c r="B107" s="7" t="s">
        <v>195</v>
      </c>
      <c r="C107" s="8" t="s">
        <v>445</v>
      </c>
      <c r="D107" s="7" t="s">
        <v>450</v>
      </c>
      <c r="E107" s="8" t="s">
        <v>198</v>
      </c>
      <c r="F107" s="8" t="s">
        <v>451</v>
      </c>
      <c r="G107" s="8" t="s">
        <v>452</v>
      </c>
      <c r="H107" s="10" t="s">
        <v>62</v>
      </c>
    </row>
    <row r="108" customFormat="false" ht="29.85" hidden="false" customHeight="false" outlineLevel="0" collapsed="false">
      <c r="A108" s="7" t="s">
        <v>453</v>
      </c>
      <c r="B108" s="7" t="s">
        <v>195</v>
      </c>
      <c r="C108" s="8" t="s">
        <v>445</v>
      </c>
      <c r="D108" s="7" t="s">
        <v>454</v>
      </c>
      <c r="E108" s="8" t="s">
        <v>198</v>
      </c>
      <c r="F108" s="8" t="s">
        <v>455</v>
      </c>
      <c r="G108" s="8" t="s">
        <v>456</v>
      </c>
      <c r="H108" s="9" t="s">
        <v>32</v>
      </c>
    </row>
    <row r="109" customFormat="false" ht="29.85" hidden="false" customHeight="false" outlineLevel="0" collapsed="false">
      <c r="A109" s="7" t="s">
        <v>457</v>
      </c>
      <c r="B109" s="7" t="s">
        <v>195</v>
      </c>
      <c r="C109" s="8" t="s">
        <v>445</v>
      </c>
      <c r="D109" s="7" t="s">
        <v>458</v>
      </c>
      <c r="E109" s="8" t="s">
        <v>198</v>
      </c>
      <c r="F109" s="8" t="s">
        <v>459</v>
      </c>
      <c r="G109" s="8" t="s">
        <v>460</v>
      </c>
      <c r="H109" s="9" t="s">
        <v>32</v>
      </c>
    </row>
    <row r="110" customFormat="false" ht="29.85" hidden="false" customHeight="false" outlineLevel="0" collapsed="false">
      <c r="A110" s="7" t="s">
        <v>461</v>
      </c>
      <c r="B110" s="7" t="s">
        <v>195</v>
      </c>
      <c r="C110" s="8" t="s">
        <v>462</v>
      </c>
      <c r="D110" s="7" t="s">
        <v>463</v>
      </c>
      <c r="E110" s="8" t="s">
        <v>198</v>
      </c>
      <c r="F110" s="8" t="s">
        <v>464</v>
      </c>
      <c r="G110" s="8" t="s">
        <v>265</v>
      </c>
      <c r="H110" s="9" t="s">
        <v>32</v>
      </c>
    </row>
    <row r="111" customFormat="false" ht="29.85" hidden="false" customHeight="false" outlineLevel="0" collapsed="false">
      <c r="A111" s="7" t="s">
        <v>465</v>
      </c>
      <c r="B111" s="7" t="s">
        <v>195</v>
      </c>
      <c r="C111" s="8" t="s">
        <v>462</v>
      </c>
      <c r="D111" s="7" t="s">
        <v>466</v>
      </c>
      <c r="E111" s="8" t="s">
        <v>198</v>
      </c>
      <c r="F111" s="8" t="s">
        <v>236</v>
      </c>
      <c r="G111" s="8" t="s">
        <v>237</v>
      </c>
      <c r="H111" s="9" t="s">
        <v>32</v>
      </c>
    </row>
    <row r="112" customFormat="false" ht="29.85" hidden="false" customHeight="false" outlineLevel="0" collapsed="false">
      <c r="A112" s="7" t="s">
        <v>467</v>
      </c>
      <c r="B112" s="7" t="s">
        <v>195</v>
      </c>
      <c r="C112" s="8" t="s">
        <v>468</v>
      </c>
      <c r="D112" s="7" t="s">
        <v>469</v>
      </c>
      <c r="E112" s="8" t="s">
        <v>198</v>
      </c>
      <c r="F112" s="8" t="s">
        <v>470</v>
      </c>
      <c r="G112" s="8" t="s">
        <v>471</v>
      </c>
      <c r="H112" s="10" t="s">
        <v>62</v>
      </c>
    </row>
    <row r="113" customFormat="false" ht="29.85" hidden="false" customHeight="false" outlineLevel="0" collapsed="false">
      <c r="A113" s="7" t="s">
        <v>472</v>
      </c>
      <c r="B113" s="7" t="s">
        <v>195</v>
      </c>
      <c r="C113" s="8" t="s">
        <v>468</v>
      </c>
      <c r="D113" s="7" t="s">
        <v>473</v>
      </c>
      <c r="E113" s="8" t="s">
        <v>198</v>
      </c>
      <c r="F113" s="8" t="s">
        <v>474</v>
      </c>
      <c r="G113" s="8" t="s">
        <v>475</v>
      </c>
      <c r="H113" s="10" t="s">
        <v>62</v>
      </c>
    </row>
    <row r="114" customFormat="false" ht="29.85" hidden="false" customHeight="false" outlineLevel="0" collapsed="false">
      <c r="A114" s="7" t="s">
        <v>476</v>
      </c>
      <c r="B114" s="7" t="s">
        <v>195</v>
      </c>
      <c r="C114" s="8" t="s">
        <v>477</v>
      </c>
      <c r="D114" s="7" t="s">
        <v>478</v>
      </c>
      <c r="E114" s="8" t="s">
        <v>198</v>
      </c>
      <c r="F114" s="8" t="s">
        <v>479</v>
      </c>
      <c r="G114" s="8" t="s">
        <v>480</v>
      </c>
      <c r="H114" s="9" t="s">
        <v>32</v>
      </c>
    </row>
    <row r="115" customFormat="false" ht="29.85" hidden="false" customHeight="false" outlineLevel="0" collapsed="false">
      <c r="A115" s="7" t="s">
        <v>481</v>
      </c>
      <c r="B115" s="7" t="s">
        <v>195</v>
      </c>
      <c r="C115" s="8" t="s">
        <v>477</v>
      </c>
      <c r="D115" s="7" t="s">
        <v>482</v>
      </c>
      <c r="E115" s="8" t="s">
        <v>198</v>
      </c>
      <c r="F115" s="8" t="s">
        <v>483</v>
      </c>
      <c r="G115" s="8" t="s">
        <v>484</v>
      </c>
      <c r="H115" s="9" t="s">
        <v>32</v>
      </c>
    </row>
    <row r="116" customFormat="false" ht="44" hidden="false" customHeight="false" outlineLevel="0" collapsed="false">
      <c r="A116" s="7" t="s">
        <v>485</v>
      </c>
      <c r="B116" s="7" t="s">
        <v>195</v>
      </c>
      <c r="C116" s="8" t="s">
        <v>477</v>
      </c>
      <c r="D116" s="7" t="s">
        <v>486</v>
      </c>
      <c r="E116" s="8" t="s">
        <v>198</v>
      </c>
      <c r="F116" s="8" t="s">
        <v>487</v>
      </c>
      <c r="G116" s="8" t="s">
        <v>488</v>
      </c>
      <c r="H116" s="10" t="s">
        <v>62</v>
      </c>
    </row>
    <row r="117" customFormat="false" ht="29.85" hidden="false" customHeight="false" outlineLevel="0" collapsed="false">
      <c r="A117" s="7" t="s">
        <v>489</v>
      </c>
      <c r="B117" s="7" t="s">
        <v>195</v>
      </c>
      <c r="C117" s="8" t="s">
        <v>490</v>
      </c>
      <c r="D117" s="7" t="s">
        <v>491</v>
      </c>
      <c r="E117" s="8" t="s">
        <v>198</v>
      </c>
      <c r="F117" s="8" t="s">
        <v>492</v>
      </c>
      <c r="G117" s="8" t="s">
        <v>493</v>
      </c>
      <c r="H117" s="9" t="s">
        <v>32</v>
      </c>
    </row>
    <row r="118" customFormat="false" ht="29.85" hidden="false" customHeight="false" outlineLevel="0" collapsed="false">
      <c r="A118" s="7" t="s">
        <v>494</v>
      </c>
      <c r="B118" s="7" t="s">
        <v>195</v>
      </c>
      <c r="C118" s="8" t="s">
        <v>490</v>
      </c>
      <c r="D118" s="7" t="s">
        <v>495</v>
      </c>
      <c r="E118" s="8" t="s">
        <v>198</v>
      </c>
      <c r="F118" s="8" t="s">
        <v>496</v>
      </c>
      <c r="G118" s="8" t="s">
        <v>497</v>
      </c>
      <c r="H118" s="9" t="s">
        <v>32</v>
      </c>
    </row>
    <row r="119" customFormat="false" ht="29.85" hidden="false" customHeight="false" outlineLevel="0" collapsed="false">
      <c r="A119" s="7" t="s">
        <v>498</v>
      </c>
      <c r="B119" s="7" t="s">
        <v>195</v>
      </c>
      <c r="C119" s="8" t="s">
        <v>490</v>
      </c>
      <c r="D119" s="7" t="s">
        <v>499</v>
      </c>
      <c r="E119" s="8" t="s">
        <v>198</v>
      </c>
      <c r="F119" s="8" t="s">
        <v>500</v>
      </c>
      <c r="G119" s="8" t="s">
        <v>501</v>
      </c>
      <c r="H119" s="9" t="s">
        <v>32</v>
      </c>
    </row>
    <row r="120" customFormat="false" ht="29.85" hidden="false" customHeight="false" outlineLevel="0" collapsed="false">
      <c r="A120" s="7" t="s">
        <v>502</v>
      </c>
      <c r="B120" s="7" t="s">
        <v>195</v>
      </c>
      <c r="C120" s="8" t="s">
        <v>503</v>
      </c>
      <c r="D120" s="7" t="s">
        <v>504</v>
      </c>
      <c r="E120" s="8" t="s">
        <v>505</v>
      </c>
      <c r="F120" s="8" t="s">
        <v>506</v>
      </c>
      <c r="G120" s="8" t="s">
        <v>507</v>
      </c>
      <c r="H120" s="9" t="s">
        <v>32</v>
      </c>
    </row>
    <row r="121" customFormat="false" ht="29.85" hidden="false" customHeight="false" outlineLevel="0" collapsed="false">
      <c r="A121" s="7" t="s">
        <v>508</v>
      </c>
      <c r="B121" s="7" t="s">
        <v>195</v>
      </c>
      <c r="C121" s="8" t="s">
        <v>509</v>
      </c>
      <c r="D121" s="7" t="s">
        <v>504</v>
      </c>
      <c r="E121" s="8" t="s">
        <v>510</v>
      </c>
      <c r="F121" s="8" t="s">
        <v>506</v>
      </c>
      <c r="G121" s="8" t="s">
        <v>511</v>
      </c>
      <c r="H121" s="9" t="s">
        <v>32</v>
      </c>
    </row>
    <row r="122" customFormat="false" ht="29.85" hidden="false" customHeight="false" outlineLevel="0" collapsed="false">
      <c r="A122" s="7" t="s">
        <v>512</v>
      </c>
      <c r="B122" s="7" t="s">
        <v>195</v>
      </c>
      <c r="C122" s="8" t="s">
        <v>513</v>
      </c>
      <c r="D122" s="7" t="s">
        <v>504</v>
      </c>
      <c r="E122" s="8" t="s">
        <v>514</v>
      </c>
      <c r="F122" s="8" t="s">
        <v>506</v>
      </c>
      <c r="G122" s="8" t="s">
        <v>515</v>
      </c>
      <c r="H122" s="10" t="s">
        <v>62</v>
      </c>
    </row>
    <row r="123" customFormat="false" ht="29.85" hidden="false" customHeight="false" outlineLevel="0" collapsed="false">
      <c r="A123" s="7" t="s">
        <v>516</v>
      </c>
      <c r="B123" s="7" t="s">
        <v>517</v>
      </c>
      <c r="C123" s="8" t="s">
        <v>518</v>
      </c>
      <c r="D123" s="7" t="s">
        <v>504</v>
      </c>
      <c r="E123" s="7" t="s">
        <v>519</v>
      </c>
      <c r="F123" s="7" t="s">
        <v>520</v>
      </c>
      <c r="G123" s="7" t="s">
        <v>521</v>
      </c>
      <c r="H123" s="9" t="s">
        <v>32</v>
      </c>
    </row>
    <row r="124" customFormat="false" ht="29.85" hidden="false" customHeight="false" outlineLevel="0" collapsed="false">
      <c r="A124" s="7" t="s">
        <v>522</v>
      </c>
      <c r="B124" s="7" t="s">
        <v>517</v>
      </c>
      <c r="C124" s="8" t="s">
        <v>523</v>
      </c>
      <c r="D124" s="7" t="s">
        <v>504</v>
      </c>
      <c r="E124" s="8" t="s">
        <v>524</v>
      </c>
      <c r="F124" s="7" t="s">
        <v>525</v>
      </c>
      <c r="G124" s="7" t="s">
        <v>526</v>
      </c>
      <c r="H124" s="10" t="s">
        <v>62</v>
      </c>
    </row>
    <row r="125" customFormat="false" ht="41" hidden="false" customHeight="false" outlineLevel="0" collapsed="false">
      <c r="A125" s="7" t="s">
        <v>527</v>
      </c>
      <c r="B125" s="7" t="s">
        <v>517</v>
      </c>
      <c r="C125" s="8" t="s">
        <v>528</v>
      </c>
      <c r="D125" s="8" t="s">
        <v>529</v>
      </c>
      <c r="E125" s="8" t="s">
        <v>530</v>
      </c>
      <c r="F125" s="8" t="s">
        <v>531</v>
      </c>
      <c r="G125" s="7" t="s">
        <v>532</v>
      </c>
      <c r="H125" s="9" t="s">
        <v>32</v>
      </c>
    </row>
    <row r="126" customFormat="false" ht="15" hidden="false" customHeight="false" outlineLevel="0" collapsed="false">
      <c r="A126" s="7" t="s">
        <v>533</v>
      </c>
      <c r="B126" s="7" t="s">
        <v>517</v>
      </c>
      <c r="C126" s="8" t="s">
        <v>528</v>
      </c>
      <c r="D126" s="7" t="s">
        <v>534</v>
      </c>
      <c r="E126" s="8" t="s">
        <v>535</v>
      </c>
      <c r="F126" s="8" t="s">
        <v>536</v>
      </c>
      <c r="G126" s="7" t="s">
        <v>537</v>
      </c>
      <c r="H126" s="9" t="s">
        <v>32</v>
      </c>
    </row>
    <row r="127" customFormat="false" ht="15" hidden="false" customHeight="false" outlineLevel="0" collapsed="false">
      <c r="A127" s="7" t="s">
        <v>538</v>
      </c>
      <c r="B127" s="7" t="s">
        <v>517</v>
      </c>
      <c r="C127" s="8" t="s">
        <v>528</v>
      </c>
      <c r="D127" s="7" t="s">
        <v>539</v>
      </c>
      <c r="E127" s="8" t="s">
        <v>540</v>
      </c>
      <c r="F127" s="8" t="s">
        <v>541</v>
      </c>
      <c r="G127" s="7" t="s">
        <v>542</v>
      </c>
      <c r="H127" s="9" t="s">
        <v>32</v>
      </c>
    </row>
    <row r="128" customFormat="false" ht="29.85" hidden="false" customHeight="false" outlineLevel="0" collapsed="false">
      <c r="A128" s="7" t="s">
        <v>543</v>
      </c>
      <c r="B128" s="7" t="s">
        <v>517</v>
      </c>
      <c r="C128" s="8" t="s">
        <v>544</v>
      </c>
      <c r="D128" s="8" t="s">
        <v>545</v>
      </c>
      <c r="E128" s="8" t="s">
        <v>546</v>
      </c>
      <c r="F128" s="8" t="s">
        <v>547</v>
      </c>
      <c r="G128" s="7" t="s">
        <v>548</v>
      </c>
      <c r="H128" s="9" t="s">
        <v>32</v>
      </c>
    </row>
    <row r="129" customFormat="false" ht="15" hidden="false" customHeight="false" outlineLevel="0" collapsed="false">
      <c r="A129" s="7" t="s">
        <v>549</v>
      </c>
      <c r="B129" s="7" t="s">
        <v>517</v>
      </c>
      <c r="C129" s="8" t="s">
        <v>544</v>
      </c>
      <c r="D129" s="8" t="s">
        <v>550</v>
      </c>
      <c r="E129" s="8" t="s">
        <v>546</v>
      </c>
      <c r="F129" s="8" t="s">
        <v>551</v>
      </c>
      <c r="G129" s="7" t="s">
        <v>552</v>
      </c>
      <c r="H129" s="9" t="s">
        <v>32</v>
      </c>
    </row>
    <row r="130" customFormat="false" ht="15" hidden="false" customHeight="false" outlineLevel="0" collapsed="false">
      <c r="A130" s="7" t="s">
        <v>553</v>
      </c>
      <c r="B130" s="7" t="s">
        <v>517</v>
      </c>
      <c r="C130" s="8" t="s">
        <v>554</v>
      </c>
      <c r="D130" s="8" t="s">
        <v>555</v>
      </c>
      <c r="E130" s="8" t="s">
        <v>546</v>
      </c>
      <c r="F130" s="8" t="s">
        <v>556</v>
      </c>
      <c r="G130" s="7" t="s">
        <v>557</v>
      </c>
      <c r="H130" s="9" t="s">
        <v>32</v>
      </c>
    </row>
    <row r="131" customFormat="false" ht="41" hidden="false" customHeight="false" outlineLevel="0" collapsed="false">
      <c r="A131" s="7" t="s">
        <v>558</v>
      </c>
      <c r="B131" s="7" t="s">
        <v>517</v>
      </c>
      <c r="C131" s="8" t="s">
        <v>559</v>
      </c>
      <c r="D131" s="8" t="s">
        <v>560</v>
      </c>
      <c r="E131" s="7" t="s">
        <v>561</v>
      </c>
      <c r="F131" s="7" t="s">
        <v>562</v>
      </c>
      <c r="G131" s="7" t="s">
        <v>563</v>
      </c>
      <c r="H131" s="9" t="s">
        <v>32</v>
      </c>
    </row>
    <row r="132" customFormat="false" ht="29.85" hidden="false" customHeight="false" outlineLevel="0" collapsed="false">
      <c r="A132" s="7" t="s">
        <v>564</v>
      </c>
      <c r="B132" s="7" t="s">
        <v>517</v>
      </c>
      <c r="C132" s="8" t="s">
        <v>559</v>
      </c>
      <c r="D132" s="8" t="s">
        <v>565</v>
      </c>
      <c r="E132" s="7" t="s">
        <v>561</v>
      </c>
      <c r="F132" s="8" t="s">
        <v>566</v>
      </c>
      <c r="G132" s="7" t="s">
        <v>567</v>
      </c>
      <c r="H132" s="9" t="s">
        <v>32</v>
      </c>
    </row>
    <row r="133" customFormat="false" ht="29.85" hidden="false" customHeight="false" outlineLevel="0" collapsed="false">
      <c r="A133" s="7" t="s">
        <v>568</v>
      </c>
      <c r="B133" s="7" t="s">
        <v>517</v>
      </c>
      <c r="C133" s="8" t="s">
        <v>559</v>
      </c>
      <c r="D133" s="8" t="s">
        <v>569</v>
      </c>
      <c r="E133" s="8" t="s">
        <v>570</v>
      </c>
      <c r="F133" s="7" t="s">
        <v>571</v>
      </c>
      <c r="G133" s="7" t="s">
        <v>572</v>
      </c>
      <c r="H133" s="9" t="s">
        <v>32</v>
      </c>
    </row>
    <row r="134" customFormat="false" ht="15" hidden="false" customHeight="false" outlineLevel="0" collapsed="false">
      <c r="A134" s="7" t="s">
        <v>573</v>
      </c>
      <c r="B134" s="7" t="s">
        <v>517</v>
      </c>
      <c r="C134" s="8" t="s">
        <v>559</v>
      </c>
      <c r="D134" s="8" t="s">
        <v>574</v>
      </c>
      <c r="E134" s="7" t="s">
        <v>575</v>
      </c>
      <c r="F134" s="8" t="s">
        <v>576</v>
      </c>
      <c r="G134" s="7" t="s">
        <v>577</v>
      </c>
      <c r="H134" s="9" t="s">
        <v>32</v>
      </c>
    </row>
    <row r="135" customFormat="false" ht="15" hidden="false" customHeight="false" outlineLevel="0" collapsed="false">
      <c r="A135" s="7" t="s">
        <v>578</v>
      </c>
      <c r="B135" s="7" t="s">
        <v>517</v>
      </c>
      <c r="C135" s="8" t="s">
        <v>559</v>
      </c>
      <c r="D135" s="8" t="s">
        <v>579</v>
      </c>
      <c r="E135" s="7" t="s">
        <v>580</v>
      </c>
      <c r="F135" s="8" t="s">
        <v>581</v>
      </c>
      <c r="G135" s="7" t="s">
        <v>582</v>
      </c>
      <c r="H135" s="9" t="s">
        <v>32</v>
      </c>
    </row>
    <row r="136" customFormat="false" ht="15" hidden="false" customHeight="false" outlineLevel="0" collapsed="false">
      <c r="A136" s="7" t="s">
        <v>583</v>
      </c>
      <c r="B136" s="7" t="s">
        <v>517</v>
      </c>
      <c r="C136" s="8" t="s">
        <v>584</v>
      </c>
      <c r="D136" s="7" t="s">
        <v>585</v>
      </c>
      <c r="E136" s="8" t="s">
        <v>586</v>
      </c>
      <c r="F136" s="8" t="s">
        <v>587</v>
      </c>
      <c r="G136" s="7" t="s">
        <v>588</v>
      </c>
      <c r="H136" s="9" t="s">
        <v>32</v>
      </c>
    </row>
    <row r="137" customFormat="false" ht="29.85" hidden="false" customHeight="false" outlineLevel="0" collapsed="false">
      <c r="A137" s="7" t="s">
        <v>589</v>
      </c>
      <c r="B137" s="7" t="s">
        <v>517</v>
      </c>
      <c r="C137" s="8" t="s">
        <v>584</v>
      </c>
      <c r="D137" s="7" t="s">
        <v>590</v>
      </c>
      <c r="E137" s="8" t="s">
        <v>586</v>
      </c>
      <c r="F137" s="7" t="s">
        <v>591</v>
      </c>
      <c r="G137" s="7" t="s">
        <v>592</v>
      </c>
      <c r="H137" s="9" t="s">
        <v>32</v>
      </c>
    </row>
    <row r="138" customFormat="false" ht="29.85" hidden="false" customHeight="false" outlineLevel="0" collapsed="false">
      <c r="A138" s="7" t="s">
        <v>593</v>
      </c>
      <c r="B138" s="7" t="s">
        <v>517</v>
      </c>
      <c r="C138" s="8" t="s">
        <v>594</v>
      </c>
      <c r="D138" s="8" t="s">
        <v>595</v>
      </c>
      <c r="E138" s="7" t="s">
        <v>596</v>
      </c>
      <c r="F138" s="7" t="s">
        <v>597</v>
      </c>
      <c r="G138" s="7" t="s">
        <v>598</v>
      </c>
      <c r="H138" s="9" t="s">
        <v>32</v>
      </c>
    </row>
    <row r="139" customFormat="false" ht="29.85" hidden="false" customHeight="false" outlineLevel="0" collapsed="false">
      <c r="A139" s="7" t="s">
        <v>599</v>
      </c>
      <c r="B139" s="7" t="s">
        <v>517</v>
      </c>
      <c r="C139" s="8" t="s">
        <v>594</v>
      </c>
      <c r="D139" s="8" t="s">
        <v>595</v>
      </c>
      <c r="E139" s="7" t="s">
        <v>596</v>
      </c>
      <c r="F139" s="8" t="s">
        <v>600</v>
      </c>
      <c r="G139" s="8" t="s">
        <v>601</v>
      </c>
      <c r="H139" s="9" t="s">
        <v>32</v>
      </c>
    </row>
    <row r="140" customFormat="false" ht="29.85" hidden="false" customHeight="false" outlineLevel="0" collapsed="false">
      <c r="A140" s="7" t="s">
        <v>602</v>
      </c>
      <c r="B140" s="7" t="s">
        <v>517</v>
      </c>
      <c r="C140" s="8" t="s">
        <v>594</v>
      </c>
      <c r="D140" s="8" t="s">
        <v>595</v>
      </c>
      <c r="E140" s="7" t="s">
        <v>596</v>
      </c>
      <c r="F140" s="8" t="s">
        <v>603</v>
      </c>
      <c r="G140" s="8" t="s">
        <v>604</v>
      </c>
      <c r="H140" s="9" t="s">
        <v>32</v>
      </c>
    </row>
    <row r="141" customFormat="false" ht="15" hidden="false" customHeight="false" outlineLevel="0" collapsed="false">
      <c r="A141" s="7" t="s">
        <v>605</v>
      </c>
      <c r="B141" s="7" t="s">
        <v>606</v>
      </c>
      <c r="C141" s="8" t="s">
        <v>607</v>
      </c>
      <c r="D141" s="7" t="s">
        <v>608</v>
      </c>
      <c r="E141" s="8" t="s">
        <v>609</v>
      </c>
      <c r="F141" s="8" t="s">
        <v>610</v>
      </c>
      <c r="G141" s="7" t="s">
        <v>611</v>
      </c>
      <c r="H141" s="9" t="s">
        <v>32</v>
      </c>
    </row>
    <row r="142" customFormat="false" ht="15" hidden="false" customHeight="false" outlineLevel="0" collapsed="false">
      <c r="A142" s="7" t="s">
        <v>612</v>
      </c>
      <c r="B142" s="7" t="s">
        <v>606</v>
      </c>
      <c r="C142" s="8" t="s">
        <v>607</v>
      </c>
      <c r="D142" s="7" t="s">
        <v>608</v>
      </c>
      <c r="E142" s="8" t="s">
        <v>609</v>
      </c>
      <c r="F142" s="8" t="s">
        <v>613</v>
      </c>
      <c r="G142" s="7" t="s">
        <v>611</v>
      </c>
      <c r="H142" s="9" t="s">
        <v>32</v>
      </c>
    </row>
    <row r="143" customFormat="false" ht="29.85" hidden="false" customHeight="false" outlineLevel="0" collapsed="false">
      <c r="A143" s="7" t="s">
        <v>614</v>
      </c>
      <c r="B143" s="7" t="s">
        <v>606</v>
      </c>
      <c r="C143" s="8" t="s">
        <v>607</v>
      </c>
      <c r="D143" s="7" t="s">
        <v>608</v>
      </c>
      <c r="E143" s="8" t="s">
        <v>609</v>
      </c>
      <c r="F143" s="8" t="s">
        <v>615</v>
      </c>
      <c r="G143" s="7" t="s">
        <v>611</v>
      </c>
      <c r="H143" s="9" t="s">
        <v>32</v>
      </c>
    </row>
    <row r="144" customFormat="false" ht="15" hidden="false" customHeight="false" outlineLevel="0" collapsed="false">
      <c r="A144" s="7" t="s">
        <v>616</v>
      </c>
      <c r="B144" s="7" t="s">
        <v>606</v>
      </c>
      <c r="C144" s="8" t="s">
        <v>607</v>
      </c>
      <c r="D144" s="7" t="s">
        <v>608</v>
      </c>
      <c r="E144" s="8" t="s">
        <v>609</v>
      </c>
      <c r="F144" s="8" t="s">
        <v>617</v>
      </c>
      <c r="G144" s="7" t="s">
        <v>611</v>
      </c>
      <c r="H144" s="9" t="s">
        <v>32</v>
      </c>
    </row>
    <row r="145" customFormat="false" ht="15" hidden="false" customHeight="false" outlineLevel="0" collapsed="false">
      <c r="A145" s="7" t="s">
        <v>618</v>
      </c>
      <c r="B145" s="7" t="s">
        <v>606</v>
      </c>
      <c r="C145" s="8" t="s">
        <v>607</v>
      </c>
      <c r="D145" s="7" t="s">
        <v>608</v>
      </c>
      <c r="E145" s="8" t="s">
        <v>609</v>
      </c>
      <c r="F145" s="8" t="s">
        <v>619</v>
      </c>
      <c r="G145" s="7" t="s">
        <v>611</v>
      </c>
      <c r="H145" s="9" t="s">
        <v>32</v>
      </c>
    </row>
    <row r="146" customFormat="false" ht="15" hidden="false" customHeight="false" outlineLevel="0" collapsed="false">
      <c r="A146" s="7" t="s">
        <v>620</v>
      </c>
      <c r="B146" s="7" t="s">
        <v>621</v>
      </c>
      <c r="C146" s="8" t="s">
        <v>622</v>
      </c>
      <c r="D146" s="7" t="s">
        <v>623</v>
      </c>
      <c r="E146" s="8" t="s">
        <v>624</v>
      </c>
      <c r="F146" s="8" t="s">
        <v>625</v>
      </c>
      <c r="G146" s="7" t="s">
        <v>611</v>
      </c>
      <c r="H146" s="9" t="s">
        <v>32</v>
      </c>
    </row>
    <row r="147" customFormat="false" ht="15" hidden="false" customHeight="false" outlineLevel="0" collapsed="false">
      <c r="A147" s="7" t="s">
        <v>626</v>
      </c>
      <c r="B147" s="7" t="s">
        <v>621</v>
      </c>
      <c r="C147" s="8" t="s">
        <v>622</v>
      </c>
      <c r="D147" s="7" t="s">
        <v>623</v>
      </c>
      <c r="E147" s="8" t="s">
        <v>624</v>
      </c>
      <c r="F147" s="8" t="s">
        <v>627</v>
      </c>
      <c r="G147" s="7" t="s">
        <v>611</v>
      </c>
      <c r="H147" s="9" t="s">
        <v>32</v>
      </c>
    </row>
    <row r="148" customFormat="false" ht="15" hidden="false" customHeight="false" outlineLevel="0" collapsed="false">
      <c r="A148" s="7" t="s">
        <v>628</v>
      </c>
      <c r="B148" s="7" t="s">
        <v>621</v>
      </c>
      <c r="C148" s="8" t="s">
        <v>622</v>
      </c>
      <c r="D148" s="7" t="s">
        <v>623</v>
      </c>
      <c r="E148" s="8" t="s">
        <v>624</v>
      </c>
      <c r="F148" s="8" t="s">
        <v>629</v>
      </c>
      <c r="G148" s="7" t="s">
        <v>630</v>
      </c>
      <c r="H148" s="9" t="s">
        <v>32</v>
      </c>
    </row>
    <row r="149" customFormat="false" ht="15" hidden="false" customHeight="false" outlineLevel="0" collapsed="false">
      <c r="A149" s="7" t="s">
        <v>631</v>
      </c>
      <c r="B149" s="7" t="s">
        <v>621</v>
      </c>
      <c r="C149" s="8" t="s">
        <v>622</v>
      </c>
      <c r="D149" s="7" t="s">
        <v>623</v>
      </c>
      <c r="E149" s="8" t="s">
        <v>624</v>
      </c>
      <c r="F149" s="8" t="s">
        <v>632</v>
      </c>
      <c r="G149" s="7" t="s">
        <v>633</v>
      </c>
      <c r="H149" s="10" t="s">
        <v>62</v>
      </c>
    </row>
    <row r="150" customFormat="false" ht="15" hidden="false" customHeight="false" outlineLevel="0" collapsed="false">
      <c r="A150" s="7" t="s">
        <v>634</v>
      </c>
      <c r="B150" s="7" t="s">
        <v>621</v>
      </c>
      <c r="C150" s="8" t="s">
        <v>622</v>
      </c>
      <c r="D150" s="7" t="s">
        <v>623</v>
      </c>
      <c r="E150" s="8" t="s">
        <v>624</v>
      </c>
      <c r="F150" s="8" t="s">
        <v>635</v>
      </c>
      <c r="G150" s="7" t="s">
        <v>636</v>
      </c>
      <c r="H150" s="9" t="s">
        <v>32</v>
      </c>
    </row>
    <row r="151" customFormat="false" ht="15" hidden="false" customHeight="false" outlineLevel="0" collapsed="false">
      <c r="A151" s="7" t="s">
        <v>637</v>
      </c>
      <c r="B151" s="7" t="s">
        <v>621</v>
      </c>
      <c r="C151" s="8" t="s">
        <v>622</v>
      </c>
      <c r="D151" s="7" t="s">
        <v>623</v>
      </c>
      <c r="E151" s="8" t="s">
        <v>624</v>
      </c>
      <c r="F151" s="8" t="s">
        <v>638</v>
      </c>
      <c r="G151" s="7" t="s">
        <v>639</v>
      </c>
      <c r="H151" s="11" t="s">
        <v>640</v>
      </c>
    </row>
    <row r="152" customFormat="false" ht="15" hidden="false" customHeight="false" outlineLevel="0" collapsed="false">
      <c r="A152" s="7" t="s">
        <v>641</v>
      </c>
      <c r="B152" s="7" t="s">
        <v>621</v>
      </c>
      <c r="C152" s="8" t="s">
        <v>642</v>
      </c>
      <c r="D152" s="7" t="s">
        <v>623</v>
      </c>
      <c r="E152" s="8" t="s">
        <v>624</v>
      </c>
      <c r="F152" s="8" t="s">
        <v>643</v>
      </c>
      <c r="G152" s="7" t="s">
        <v>644</v>
      </c>
      <c r="H152" s="10" t="s">
        <v>62</v>
      </c>
    </row>
  </sheetData>
  <autoFilter ref="A1:H15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4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2" t="s">
        <v>18</v>
      </c>
      <c r="B1" s="12" t="s">
        <v>645</v>
      </c>
      <c r="C1" s="12" t="s">
        <v>646</v>
      </c>
      <c r="D1" s="12" t="s">
        <v>647</v>
      </c>
      <c r="E1" s="12" t="s">
        <v>648</v>
      </c>
    </row>
    <row r="2" customFormat="false" ht="15" hidden="false" customHeight="false" outlineLevel="0" collapsed="false">
      <c r="A2" s="7" t="s">
        <v>26</v>
      </c>
      <c r="B2" s="7" t="n">
        <f aca="false">COUNTIF(测试用例!$B$2:$B$152,A2)</f>
        <v>38</v>
      </c>
      <c r="C2" s="7" t="n">
        <f aca="false">COUNTIFS(测试用例!$B$2:$B$152,A2,测试用例!$H$2:$H$152,"PASS")</f>
        <v>24</v>
      </c>
      <c r="D2" s="13" t="n">
        <f aca="false">IF(B2=0,"-",C2/B2)</f>
        <v>0.631578947368421</v>
      </c>
      <c r="E2" s="8" t="s">
        <v>649</v>
      </c>
    </row>
    <row r="3" customFormat="false" ht="15" hidden="false" customHeight="false" outlineLevel="0" collapsed="false">
      <c r="A3" s="7" t="s">
        <v>195</v>
      </c>
      <c r="B3" s="7" t="n">
        <f aca="false">COUNTIF(测试用例!$B$2:$B$152,A3)</f>
        <v>83</v>
      </c>
      <c r="C3" s="7" t="n">
        <f aca="false">COUNTIFS(测试用例!$B$2:$B$152,A3,测试用例!$H$2:$H$152,"PASS")</f>
        <v>62</v>
      </c>
      <c r="D3" s="13" t="n">
        <f aca="false">IF(B3=0,"-",C3/B3)</f>
        <v>0.746987951807229</v>
      </c>
      <c r="E3" s="8" t="s">
        <v>650</v>
      </c>
    </row>
    <row r="4" customFormat="false" ht="15" hidden="false" customHeight="false" outlineLevel="0" collapsed="false">
      <c r="A4" s="7" t="s">
        <v>517</v>
      </c>
      <c r="B4" s="7" t="n">
        <f aca="false">COUNTIF(测试用例!$B$2:$B$152,A4)</f>
        <v>18</v>
      </c>
      <c r="C4" s="7" t="n">
        <f aca="false">COUNTIFS(测试用例!$B$2:$B$152,A4,测试用例!$H$2:$H$152,"PASS")</f>
        <v>17</v>
      </c>
      <c r="D4" s="13" t="n">
        <f aca="false">IF(B4=0,"-",C4/B4)</f>
        <v>0.944444444444444</v>
      </c>
      <c r="E4" s="8" t="s">
        <v>651</v>
      </c>
    </row>
    <row r="5" customFormat="false" ht="15" hidden="false" customHeight="false" outlineLevel="0" collapsed="false">
      <c r="A5" s="7" t="s">
        <v>606</v>
      </c>
      <c r="B5" s="7" t="n">
        <f aca="false">COUNTIF(测试用例!$B$2:$B$152,A5)</f>
        <v>5</v>
      </c>
      <c r="C5" s="7" t="n">
        <f aca="false">COUNTIFS(测试用例!$B$2:$B$152,A5,测试用例!$H$2:$H$152,"PASS")</f>
        <v>5</v>
      </c>
      <c r="D5" s="13" t="n">
        <f aca="false">IF(B5=0,"-",C5/B5)</f>
        <v>1</v>
      </c>
      <c r="E5" s="8" t="s">
        <v>652</v>
      </c>
    </row>
    <row r="6" customFormat="false" ht="15" hidden="false" customHeight="false" outlineLevel="0" collapsed="false">
      <c r="A6" s="7" t="s">
        <v>621</v>
      </c>
      <c r="B6" s="7" t="n">
        <f aca="false">COUNTIF(测试用例!$B$2:$B$152,A6)</f>
        <v>7</v>
      </c>
      <c r="C6" s="7" t="n">
        <f aca="false">COUNTIFS(测试用例!$B$2:$B$152,A6,测试用例!$H$2:$H$152,"PASS")</f>
        <v>4</v>
      </c>
      <c r="D6" s="13" t="n">
        <f aca="false">IF(B6=0,"-",C6/B6)</f>
        <v>0.571428571428571</v>
      </c>
      <c r="E6" s="8" t="s">
        <v>653</v>
      </c>
    </row>
    <row r="7" customFormat="false" ht="15" hidden="false" customHeight="false" outlineLevel="0" collapsed="false">
      <c r="A7" s="14" t="s">
        <v>654</v>
      </c>
      <c r="B7" s="14" t="n">
        <f aca="false">SUM(B2:B6)</f>
        <v>151</v>
      </c>
      <c r="C7" s="14" t="n">
        <f aca="false">SUM(C2:C6)</f>
        <v>112</v>
      </c>
      <c r="D7" s="15" t="n">
        <f aca="false">IF(B7=0,"-",C7/B7)</f>
        <v>0.741721854304636</v>
      </c>
      <c r="E7" s="14"/>
    </row>
    <row r="8" customFormat="false" ht="15" hidden="false" customHeight="false" outlineLevel="0" collapsed="false">
      <c r="A8" s="14" t="s">
        <v>655</v>
      </c>
      <c r="B8" s="14" t="n">
        <f aca="false">COUNTIF(测试用例!$H$2:$H$152,"GAP")</f>
        <v>1</v>
      </c>
      <c r="C8" s="14"/>
      <c r="D8" s="14"/>
      <c r="E8" s="14"/>
    </row>
    <row r="10" customFormat="false" ht="15" hidden="false" customHeight="false" outlineLevel="0" collapsed="false">
      <c r="A10" s="12" t="s">
        <v>656</v>
      </c>
      <c r="B10" s="12" t="s">
        <v>657</v>
      </c>
      <c r="C10" s="12" t="s">
        <v>658</v>
      </c>
      <c r="D10" s="12" t="s">
        <v>659</v>
      </c>
      <c r="E10" s="12" t="s">
        <v>648</v>
      </c>
    </row>
    <row r="11" customFormat="false" ht="15" hidden="false" customHeight="false" outlineLevel="0" collapsed="false">
      <c r="A11" s="16" t="s">
        <v>660</v>
      </c>
      <c r="B11" s="17" t="n">
        <v>0.053</v>
      </c>
      <c r="C11" s="17" t="n">
        <v>0.079</v>
      </c>
      <c r="D11" s="16"/>
      <c r="E11" s="16" t="s">
        <v>661</v>
      </c>
    </row>
    <row r="12" customFormat="false" ht="15" hidden="false" customHeight="false" outlineLevel="0" collapsed="false">
      <c r="A12" s="16" t="s">
        <v>662</v>
      </c>
      <c r="B12" s="17" t="n">
        <v>0.474</v>
      </c>
      <c r="C12" s="17" t="n">
        <v>0.474</v>
      </c>
      <c r="D12" s="16"/>
      <c r="E12" s="16"/>
    </row>
    <row r="13" customFormat="false" ht="15" hidden="false" customHeight="false" outlineLevel="0" collapsed="false">
      <c r="A13" s="16" t="s">
        <v>663</v>
      </c>
      <c r="B13" s="17" t="n">
        <v>0.132</v>
      </c>
      <c r="C13" s="17" t="n">
        <v>0.132</v>
      </c>
      <c r="D13" s="17" t="n">
        <v>0.558</v>
      </c>
      <c r="E13" s="16" t="s">
        <v>664</v>
      </c>
    </row>
    <row r="14" customFormat="false" ht="15" hidden="false" customHeight="false" outlineLevel="0" collapsed="false">
      <c r="A14" s="16" t="s">
        <v>665</v>
      </c>
      <c r="B14" s="17" t="n">
        <v>0.421</v>
      </c>
      <c r="C14" s="17" t="n">
        <v>0.395</v>
      </c>
      <c r="D14" s="17" t="n">
        <v>0.817</v>
      </c>
      <c r="E14" s="16"/>
    </row>
    <row r="15" customFormat="false" ht="15" hidden="false" customHeight="false" outlineLevel="0" collapsed="false">
      <c r="A15" s="16" t="s">
        <v>666</v>
      </c>
      <c r="B15" s="17" t="n">
        <v>0.632</v>
      </c>
      <c r="C15" s="17" t="n">
        <v>0.579</v>
      </c>
      <c r="D15" s="16"/>
      <c r="E15" s="16" t="s">
        <v>667</v>
      </c>
    </row>
    <row r="16" customFormat="false" ht="15" hidden="false" customHeight="false" outlineLevel="0" collapsed="false">
      <c r="A16" s="16" t="s">
        <v>668</v>
      </c>
      <c r="B16" s="18" t="n">
        <v>7.34</v>
      </c>
      <c r="C16" s="18" t="n">
        <v>5.39</v>
      </c>
      <c r="D16" s="18" t="n">
        <v>7.68</v>
      </c>
      <c r="E16" s="16" t="s">
        <v>669</v>
      </c>
    </row>
    <row r="17" customFormat="false" ht="15" hidden="false" customHeight="false" outlineLevel="0" collapsed="false">
      <c r="A17" s="16" t="s">
        <v>670</v>
      </c>
      <c r="B17" s="17" t="n">
        <v>0.526</v>
      </c>
      <c r="C17" s="17" t="n">
        <v>0.553</v>
      </c>
      <c r="D17" s="17" t="n">
        <v>0.5</v>
      </c>
      <c r="E17" s="16" t="s">
        <v>669</v>
      </c>
    </row>
    <row r="18" customFormat="false" ht="15" hidden="false" customHeight="false" outlineLevel="0" collapsed="false">
      <c r="A18" s="19" t="s">
        <v>671</v>
      </c>
      <c r="B18" s="19"/>
      <c r="C18" s="17" t="n">
        <v>1</v>
      </c>
      <c r="D18" s="19"/>
      <c r="E18" s="16" t="s">
        <v>672</v>
      </c>
    </row>
    <row r="19" customFormat="false" ht="15" hidden="false" customHeight="false" outlineLevel="0" collapsed="false">
      <c r="A19" s="19" t="s">
        <v>673</v>
      </c>
      <c r="B19" s="19"/>
      <c r="C19" s="17" t="n">
        <v>0.9</v>
      </c>
      <c r="D19" s="19"/>
      <c r="E19" s="16" t="s">
        <v>674</v>
      </c>
    </row>
    <row r="20" customFormat="false" ht="15" hidden="false" customHeight="false" outlineLevel="0" collapsed="false">
      <c r="A20" s="19" t="s">
        <v>675</v>
      </c>
      <c r="B20" s="19"/>
      <c r="C20" s="17" t="n">
        <v>0.55</v>
      </c>
      <c r="D20" s="19"/>
      <c r="E20" s="16" t="s">
        <v>676</v>
      </c>
    </row>
    <row r="21" customFormat="false" ht="15" hidden="false" customHeight="false" outlineLevel="0" collapsed="false">
      <c r="A21" s="20" t="s">
        <v>677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2026-10-15T07:32:54Z</dcterms:created>
  <dc:creator>openpyxl</dc:creator>
  <dc:description/>
  <dc:language>en-US</dc:language>
  <cp:lastModifiedBy/>
  <dcterms:modified xsi:type="dcterms:W3CDTF">2026-10-15T07:32:54Z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